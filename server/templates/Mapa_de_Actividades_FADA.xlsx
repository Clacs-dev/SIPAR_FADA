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Serviços Adquiridos" sheetId="2" state="visible" r:id="rId4"/>
    <sheet name="Bens Adquiridos" sheetId="3" state="visible" r:id="rId5"/>
    <sheet name="Guia de Preenchimento" sheetId="4" state="visible" r:id="rId6"/>
    <sheet name="Listas" sheetId="5" state="visible" r:id="rId7"/>
  </sheets>
  <definedNames>
    <definedName function="false" hidden="false" localSheetId="2" name="_xlnm.Print_Titles" vbProcedure="false">'Bens Adquiridos'!$5:$6</definedName>
    <definedName function="false" hidden="false" localSheetId="1" name="_xlnm.Print_Titles" vbProcedure="false">'Serviços Adquiridos'!$5:$6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<sst xmlns="http://schemas.openxmlformats.org/spreadsheetml/2006/main" count="253" uniqueCount="150">
  <si>
    <t xml:space="preserve">MAPA DE ACTIVIDADES</t>
  </si>
  <si>
    <t xml:space="preserve">FADA — Fundo de Apoio ao Desenvolvimento Agrário</t>
  </si>
  <si>
    <t xml:space="preserve">IDENTIFICAÇÃO</t>
  </si>
  <si>
    <t xml:space="preserve">Direcção</t>
  </si>
  <si>
    <t xml:space="preserve">DSG — Direcção de Serviços Gerais</t>
  </si>
  <si>
    <t xml:space="preserve">Período (mês/ano)</t>
  </si>
  <si>
    <t xml:space="preserve">Setembro de 2026</t>
  </si>
  <si>
    <t xml:space="preserve">Elaborado por</t>
  </si>
  <si>
    <t xml:space="preserve">Data de elaboração</t>
  </si>
  <si>
    <t xml:space="preserve">Aprovado por (responsável da DSG)</t>
  </si>
  <si>
    <t xml:space="preserve">RESUMO DO PERÍODO (calculado automaticamente)</t>
  </si>
  <si>
    <t xml:space="preserve">Categoria</t>
  </si>
  <si>
    <t xml:space="preserve">N.º de registos</t>
  </si>
  <si>
    <t xml:space="preserve">Quantidade de bens</t>
  </si>
  <si>
    <t xml:space="preserve">Valor (Kz)</t>
  </si>
  <si>
    <t xml:space="preserve">Quantidade de facturas</t>
  </si>
  <si>
    <t xml:space="preserve">Serviços adquiridos</t>
  </si>
  <si>
    <t xml:space="preserve">—</t>
  </si>
  <si>
    <t xml:space="preserve">Bens adquiridos</t>
  </si>
  <si>
    <t xml:space="preserve">Imobilizados adquiridos</t>
  </si>
  <si>
    <t xml:space="preserve">TOTAL GERAL</t>
  </si>
  <si>
    <t xml:space="preserve">Células a amarelo: a preencher pelo utilizador. Os restantes valores são calculados a partir das folhas «Serviços Adquiridos» e «Bens Adquiridos» (linhas 8 a 1000). A linha de exemplo (linha 7) não entra nos totais. Os valores de exemplo em Identificação devem ser substituídos.</t>
  </si>
  <si>
    <t xml:space="preserve">MAPA DE ACTIVIDADES — SERVIÇOS ADQUIRIDOS</t>
  </si>
  <si>
    <t xml:space="preserve">Campos do modelo</t>
  </si>
  <si>
    <t xml:space="preserve">Campos sugeridos (opcionais)</t>
  </si>
  <si>
    <t xml:space="preserve">Preencher a partir da linha 8. A linha 7 é apenas um exemplo e não entra nos totais.</t>
  </si>
  <si>
    <t xml:space="preserve">TOTAL</t>
  </si>
  <si>
    <t xml:space="preserve">N.º</t>
  </si>
  <si>
    <t xml:space="preserve">Serviço</t>
  </si>
  <si>
    <t xml:space="preserve">Local prestado</t>
  </si>
  <si>
    <t xml:space="preserve">Objectivo/Motivo do Serviço</t>
  </si>
  <si>
    <t xml:space="preserve">Valor</t>
  </si>
  <si>
    <t xml:space="preserve">Quantidade de facturas de serviços</t>
  </si>
  <si>
    <t xml:space="preserve">Data do documento</t>
  </si>
  <si>
    <t xml:space="preserve">Fornecedor</t>
  </si>
  <si>
    <t xml:space="preserve">Tipo de documento</t>
  </si>
  <si>
    <t xml:space="preserve">N.º do documento</t>
  </si>
  <si>
    <t xml:space="preserve">Código do artigo</t>
  </si>
  <si>
    <t xml:space="preserve">Estado da aprovação</t>
  </si>
  <si>
    <t xml:space="preserve">Data da aprovação</t>
  </si>
  <si>
    <t xml:space="preserve">N.º da Nota de Pagamento (NP)</t>
  </si>
  <si>
    <t xml:space="preserve">Data do pagamento</t>
  </si>
  <si>
    <t xml:space="preserve">Observações</t>
  </si>
  <si>
    <t xml:space="preserve">Descrição do serviço adquirido</t>
  </si>
  <si>
    <t xml:space="preserve">Local onde o serviço foi prestado</t>
  </si>
  <si>
    <t xml:space="preserve">Finalidade ou razão da contratação</t>
  </si>
  <si>
    <t xml:space="preserve">Valor total em Kwanzas (Kz)</t>
  </si>
  <si>
    <t xml:space="preserve">N.º de facturas do serviço</t>
  </si>
  <si>
    <t xml:space="preserve">Data da factura (dd/mm/aaaa)</t>
  </si>
  <si>
    <t xml:space="preserve">Código/nome do fornecedor no Primavera</t>
  </si>
  <si>
    <t xml:space="preserve">VFAP ou VFA</t>
  </si>
  <si>
    <t xml:space="preserve">N.º do documento no Primavera</t>
  </si>
  <si>
    <t xml:space="preserve">Código do artigo (ex.: DSG0001)</t>
  </si>
  <si>
    <t xml:space="preserve">Estado do documento APR</t>
  </si>
  <si>
    <t xml:space="preserve">Data da aprovação (dd/mm/aaaa)</t>
  </si>
  <si>
    <t xml:space="preserve">N.º da NP gerada pela DFI</t>
  </si>
  <si>
    <t xml:space="preserve">Data do pagamento (dd/mm/aaaa)</t>
  </si>
  <si>
    <t xml:space="preserve">Informação adicional</t>
  </si>
  <si>
    <t xml:space="preserve">Ex.</t>
  </si>
  <si>
    <t xml:space="preserve">Manutenção de equipamentos informáticos</t>
  </si>
  <si>
    <t xml:space="preserve">Sede do FADA, Luanda</t>
  </si>
  <si>
    <t xml:space="preserve">Garantir a operacionalidade dos postos de trabalho</t>
  </si>
  <si>
    <t xml:space="preserve">15/09/2026</t>
  </si>
  <si>
    <t xml:space="preserve">Informática &amp; Serviços, Lda</t>
  </si>
  <si>
    <t xml:space="preserve">VFA — Factura</t>
  </si>
  <si>
    <t xml:space="preserve">VFA 2026/0112</t>
  </si>
  <si>
    <t xml:space="preserve">DSG0001</t>
  </si>
  <si>
    <t xml:space="preserve">Aprovado</t>
  </si>
  <si>
    <t xml:space="preserve">16/09/2026</t>
  </si>
  <si>
    <t xml:space="preserve">NP 2026/0045</t>
  </si>
  <si>
    <t xml:space="preserve">18/09/2026</t>
  </si>
  <si>
    <t xml:space="preserve">Exemplo de preenchimento</t>
  </si>
  <si>
    <t xml:space="preserve">MAPA DE ACTIVIDADES — BENS ADQUIRIDOS</t>
  </si>
  <si>
    <t xml:space="preserve">Bens/Imobilizados</t>
  </si>
  <si>
    <t xml:space="preserve">Nome do bem ou imobilizado</t>
  </si>
  <si>
    <t xml:space="preserve">Quantidade dos bens adquirido</t>
  </si>
  <si>
    <t xml:space="preserve">Centro de Custo</t>
  </si>
  <si>
    <t xml:space="preserve">Quantidade de facturas de bens/imobilizados</t>
  </si>
  <si>
    <t xml:space="preserve">Localização / Responsável pelo bem</t>
  </si>
  <si>
    <t xml:space="preserve">Seleccionar: Bem ou Imobilizado</t>
  </si>
  <si>
    <t xml:space="preserve">Designação do bem ou imobilizado</t>
  </si>
  <si>
    <t xml:space="preserve">N.º de unidades adquiridas</t>
  </si>
  <si>
    <t xml:space="preserve">Centro de custo imputado</t>
  </si>
  <si>
    <t xml:space="preserve">N.º de facturas dos bens</t>
  </si>
  <si>
    <t xml:space="preserve">Onde está afecto e quem responde</t>
  </si>
  <si>
    <t xml:space="preserve">Bem</t>
  </si>
  <si>
    <t xml:space="preserve">Papel A4 (resma)</t>
  </si>
  <si>
    <t xml:space="preserve">Direcção de Serviços Gerais</t>
  </si>
  <si>
    <t xml:space="preserve">Papelaria Central, Lda</t>
  </si>
  <si>
    <t xml:space="preserve">VFA 2026/0113</t>
  </si>
  <si>
    <t xml:space="preserve">DSG0002</t>
  </si>
  <si>
    <t xml:space="preserve">NP 2026/0046</t>
  </si>
  <si>
    <t xml:space="preserve">Armazém da DSG</t>
  </si>
  <si>
    <t xml:space="preserve">GUIA DE PREENCHIMENTO</t>
  </si>
  <si>
    <t xml:space="preserve">Folha</t>
  </si>
  <si>
    <t xml:space="preserve">Campo</t>
  </si>
  <si>
    <t xml:space="preserve">Tipo</t>
  </si>
  <si>
    <t xml:space="preserve">Como preencher</t>
  </si>
  <si>
    <t xml:space="preserve">Origem no Manual de Procedimentos / Primavera</t>
  </si>
  <si>
    <t xml:space="preserve">Serviços Adquiridos</t>
  </si>
  <si>
    <t xml:space="preserve">Modelo</t>
  </si>
  <si>
    <t xml:space="preserve">Descrição do serviço adquirido.</t>
  </si>
  <si>
    <t xml:space="preserve">Descrição do artigo/documento — Compras → Compras → Documentos (2.3.4 e 2.3.5).</t>
  </si>
  <si>
    <t xml:space="preserve">Local onde o serviço foi efectivamente prestado.</t>
  </si>
  <si>
    <t xml:space="preserve">Descrições adicionais do processo (2.3.5).</t>
  </si>
  <si>
    <t xml:space="preserve">Finalidade ou razão que justifica a contratação.</t>
  </si>
  <si>
    <t xml:space="preserve">Dossiê do processo anexado no Editor de Compras (2.3.7).</t>
  </si>
  <si>
    <t xml:space="preserve">Valor total do serviço, em Kwanzas.</t>
  </si>
  <si>
    <t xml:space="preserve">Preço e quantidades do documento VFAP/VFA (2.3.6).</t>
  </si>
  <si>
    <t xml:space="preserve">N.º de facturas (VFA) relativas ao serviço.</t>
  </si>
  <si>
    <t xml:space="preserve">Documentos registados em Compras → Compras → Documentos (2.3).</t>
  </si>
  <si>
    <t xml:space="preserve">Bens Adquiridos</t>
  </si>
  <si>
    <t xml:space="preserve">Seleccionar «Bem» ou «Imobilizado» na lista.</t>
  </si>
  <si>
    <t xml:space="preserve">Classificação do artigo — Marketing e Vendas → Inventários → Artigos (2.1).</t>
  </si>
  <si>
    <t xml:space="preserve">Designação do bem ou imobilizado.</t>
  </si>
  <si>
    <t xml:space="preserve">Artigo registado no sistema (2.1 e 2.3.4).</t>
  </si>
  <si>
    <t xml:space="preserve">N.º de unidades adquiridas.</t>
  </si>
  <si>
    <t xml:space="preserve">Quantidades do documento VFAP/VFA (2.3.6).</t>
  </si>
  <si>
    <t xml:space="preserve">Centro de custo a que o bem é imputado.</t>
  </si>
  <si>
    <t xml:space="preserve">Valor total, em Kwanzas.</t>
  </si>
  <si>
    <t xml:space="preserve">Preço e quantidades do documento (2.3.6).</t>
  </si>
  <si>
    <t xml:space="preserve">N.º de facturas (VFA) dos bens e imobilizados.</t>
  </si>
  <si>
    <t xml:space="preserve">Documentos registados em Compras (2.3).</t>
  </si>
  <si>
    <t xml:space="preserve">Ambas</t>
  </si>
  <si>
    <t xml:space="preserve">Sugerido</t>
  </si>
  <si>
    <t xml:space="preserve">Data da factura do fornecedor.</t>
  </si>
  <si>
    <t xml:space="preserve">Documento VFAP/VFA (2.3).</t>
  </si>
  <si>
    <t xml:space="preserve">Código e nome do fornecedor.</t>
  </si>
  <si>
    <t xml:space="preserve">Compras → Compras → Documentos, campo Fornecedor (2.2 e 2.3.3).</t>
  </si>
  <si>
    <t xml:space="preserve">VFAP — Factura Provisória ou VFA — Factura.</t>
  </si>
  <si>
    <t xml:space="preserve">Escolha do tipo de documento (2.3.2). A VFAP é substituída pela factura final, com VNC (Nota de Crédito) da VFAP inicial.</t>
  </si>
  <si>
    <t xml:space="preserve">Número do documento no Primavera, para rastreabilidade.</t>
  </si>
  <si>
    <t xml:space="preserve">Compras → Compras → Documentos (2.3).</t>
  </si>
  <si>
    <t xml:space="preserve">Código do artigo, seguindo a codificação da DSG (ex.: DSG0001).</t>
  </si>
  <si>
    <t xml:space="preserve">Marketing e Vendas → Inventários → Artigos (2.1).</t>
  </si>
  <si>
    <t xml:space="preserve">Pendente ou Aprovado pelo responsável da DSG.</t>
  </si>
  <si>
    <t xml:space="preserve">Documento APR — Compras → Pagamentos e Recebimentos → Operações (2.4).</t>
  </si>
  <si>
    <t xml:space="preserve">Data em que o responsável da DSG aprovou o documento.</t>
  </si>
  <si>
    <t xml:space="preserve">Aprovação dos documentos VFAP/VFA (2.4.5).</t>
  </si>
  <si>
    <t xml:space="preserve">Número da NP gerada pela DFI após o pagamento.</t>
  </si>
  <si>
    <t xml:space="preserve">Geração da Nota de Pagamento (3.1).</t>
  </si>
  <si>
    <t xml:space="preserve">Data em que o pagamento foi efectuado.</t>
  </si>
  <si>
    <t xml:space="preserve">Data do pagamento na NP (3.1.5).</t>
  </si>
  <si>
    <t xml:space="preserve">Onde o bem está afecto e quem responde por ele (útil para imobilizados).</t>
  </si>
  <si>
    <t xml:space="preserve">Controlo interno; não consta do manual.</t>
  </si>
  <si>
    <t xml:space="preserve">Informação adicional relevante.</t>
  </si>
  <si>
    <t xml:space="preserve">VFAP — Factura Provisória</t>
  </si>
  <si>
    <t xml:space="preserve">Pendente</t>
  </si>
  <si>
    <t xml:space="preserve">Imobilizado</t>
  </si>
  <si>
    <t xml:space="preserve">Listas usadas nos menus pendentes. Os valores seguem o glossário do manual (VFAP, VFA); o estado de aprovação corresponde ao documento APR.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</si>
</sst>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54823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FFF2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5" min="4" style="0" width="22"/>
    <col collapsed="false" customWidth="true" hidden="false" outlineLevel="0" max="6" min="6" style="0" width="24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</row>
    <row r="2" customFormat="false" ht="15" hidden="false" customHeight="true" outlineLevel="0" collapsed="false">
      <c r="B2" s="2" t="s">
        <v>1</v>
      </c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5" customFormat="false" ht="15" hidden="false" customHeight="true" outlineLevel="0" collapsed="false">
      <c r="B5" s="4" t="s">
        <v>3</v>
      </c>
      <c r="C5" s="5" t="s">
        <v>4</v>
      </c>
      <c r="D5" s="5"/>
      <c r="E5" s="5"/>
      <c r="F5" s="5"/>
    </row>
    <row r="6" customFormat="false" ht="15" hidden="false" customHeight="true" outlineLevel="0" collapsed="false">
      <c r="B6" s="4" t="s">
        <v>5</v>
      </c>
      <c r="C6" s="5" t="s">
        <v>6</v>
      </c>
      <c r="D6" s="5"/>
      <c r="E6" s="5"/>
      <c r="F6" s="5"/>
    </row>
    <row r="7" customFormat="false" ht="15" hidden="false" customHeight="false" outlineLevel="0" collapsed="false">
      <c r="B7" s="4" t="s">
        <v>7</v>
      </c>
      <c r="C7" s="5"/>
      <c r="D7" s="5"/>
      <c r="E7" s="5"/>
      <c r="F7" s="5"/>
    </row>
    <row r="8" customFormat="false" ht="15" hidden="false" customHeight="false" outlineLevel="0" collapsed="false">
      <c r="B8" s="4" t="s">
        <v>8</v>
      </c>
      <c r="C8" s="5"/>
      <c r="D8" s="5"/>
      <c r="E8" s="5"/>
      <c r="F8" s="5"/>
    </row>
    <row r="9" customFormat="false" ht="23.85" hidden="false" customHeight="false" outlineLevel="0" collapsed="false">
      <c r="B9" s="4" t="s">
        <v>9</v>
      </c>
      <c r="C9" s="5"/>
      <c r="D9" s="5"/>
      <c r="E9" s="5"/>
      <c r="F9" s="5"/>
    </row>
    <row r="11" customFormat="false" ht="15" hidden="false" customHeight="false" outlineLevel="0" collapsed="false">
      <c r="B11" s="3" t="s">
        <v>10</v>
      </c>
      <c r="C11" s="3"/>
      <c r="D11" s="3"/>
      <c r="E11" s="3"/>
      <c r="F11" s="3"/>
    </row>
    <row r="12" customFormat="false" ht="30" hidden="false" customHeight="true" outlineLevel="0" collapsed="false">
      <c r="B12" s="6" t="s">
        <v>11</v>
      </c>
      <c r="C12" s="6" t="s">
        <v>12</v>
      </c>
      <c r="D12" s="6" t="s">
        <v>13</v>
      </c>
      <c r="E12" s="6" t="s">
        <v>14</v>
      </c>
      <c r="F12" s="6" t="s">
        <v>15</v>
      </c>
    </row>
    <row r="13" customFormat="false" ht="15" hidden="false" customHeight="false" outlineLevel="0" collapsed="false">
      <c r="B13" s="7" t="s">
        <v>16</v>
      </c>
      <c r="C13" s="8" t="n">
        <f aca="false">COUNTA('Serviços Adquiridos'!B8:B1000)</f>
        <v>0</v>
      </c>
      <c r="D13" s="8" t="s">
        <v>17</v>
      </c>
      <c r="E13" s="9" t="n">
        <f aca="false">SUM('Serviços Adquiridos'!E8:E1000)</f>
        <v>0</v>
      </c>
      <c r="F13" s="8" t="n">
        <f aca="false">SUM('Serviços Adquiridos'!F8:F1000)</f>
        <v>0</v>
      </c>
    </row>
    <row r="14" customFormat="false" ht="15" hidden="false" customHeight="false" outlineLevel="0" collapsed="false">
      <c r="B14" s="7" t="s">
        <v>18</v>
      </c>
      <c r="C14" s="8" t="n">
        <f aca="false">COUNTIF('Bens Adquiridos'!B8:B1000,"Bem")</f>
        <v>0</v>
      </c>
      <c r="D14" s="8" t="n">
        <f aca="false">SUMIF('Bens Adquiridos'!B8:B1000,"Bem",'Bens Adquiridos'!D8:D1000)</f>
        <v>0</v>
      </c>
      <c r="E14" s="9" t="n">
        <f aca="false">SUMIF('Bens Adquiridos'!B8:B1000,"Bem",'Bens Adquiridos'!F8:F1000)</f>
        <v>0</v>
      </c>
      <c r="F14" s="8" t="n">
        <f aca="false">SUMIF('Bens Adquiridos'!B8:B1000,"Bem",'Bens Adquiridos'!G8:G1000)</f>
        <v>0</v>
      </c>
    </row>
    <row r="15" customFormat="false" ht="15" hidden="false" customHeight="false" outlineLevel="0" collapsed="false">
      <c r="B15" s="7" t="s">
        <v>19</v>
      </c>
      <c r="C15" s="8" t="n">
        <f aca="false">COUNTIF('Bens Adquiridos'!B8:B1000,"Imobilizado")</f>
        <v>0</v>
      </c>
      <c r="D15" s="8" t="n">
        <f aca="false">SUMIF('Bens Adquiridos'!B8:B1000,"Imobilizado",'Bens Adquiridos'!D8:D1000)</f>
        <v>0</v>
      </c>
      <c r="E15" s="9" t="n">
        <f aca="false">SUMIF('Bens Adquiridos'!B8:B1000,"Imobilizado",'Bens Adquiridos'!F8:F1000)</f>
        <v>0</v>
      </c>
      <c r="F15" s="8" t="n">
        <f aca="false">SUMIF('Bens Adquiridos'!B8:B1000,"Imobilizado",'Bens Adquiridos'!G8:G1000)</f>
        <v>0</v>
      </c>
    </row>
    <row r="16" customFormat="false" ht="15" hidden="false" customHeight="false" outlineLevel="0" collapsed="false">
      <c r="B16" s="4" t="s">
        <v>20</v>
      </c>
      <c r="C16" s="10" t="n">
        <f aca="false">SUM(C13:C15)</f>
        <v>0</v>
      </c>
      <c r="D16" s="10" t="n">
        <f aca="false">SUM(D14:D15)</f>
        <v>0</v>
      </c>
      <c r="E16" s="11" t="n">
        <f aca="false">SUM(E13:E15)</f>
        <v>0</v>
      </c>
      <c r="F16" s="10" t="n">
        <f aca="false">SUM(F13:F15)</f>
        <v>0</v>
      </c>
    </row>
    <row r="18" customFormat="false" ht="15" hidden="false" customHeight="true" outlineLevel="0" collapsed="false">
      <c r="B18" s="12" t="s">
        <v>21</v>
      </c>
      <c r="C18" s="12"/>
      <c r="D18" s="12"/>
      <c r="E18" s="12"/>
      <c r="F18" s="12"/>
    </row>
    <row r="19" customFormat="false" ht="15" hidden="false" customHeight="false" outlineLevel="0" collapsed="false">
      <c r="B19" s="12"/>
      <c r="C19" s="12"/>
      <c r="D19" s="12"/>
      <c r="E19" s="12"/>
      <c r="F19" s="12"/>
    </row>
  </sheetData>
  <mergeCells count="10">
    <mergeCell ref="B1:F1"/>
    <mergeCell ref="B2:F2"/>
    <mergeCell ref="B4:F4"/>
    <mergeCell ref="C5:F5"/>
    <mergeCell ref="C6:F6"/>
    <mergeCell ref="C7:F7"/>
    <mergeCell ref="C8:F8"/>
    <mergeCell ref="C9:F9"/>
    <mergeCell ref="B11:F11"/>
    <mergeCell ref="B18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26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30"/>
  </cols>
  <sheetData>
    <row r="1" customFormat="false" ht="25.5" hidden="false" customHeight="true" outlineLevel="0" collapsed="false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15" hidden="false" customHeight="false" outlineLevel="0" collapsed="false">
      <c r="A2" s="14" t="str">
        <f aca="false">"FADA — Fundo de Apoio ao Desenvolvimento Agrário   |   Direcção: "&amp;Resumo!C5&amp;"   |   Período: "&amp;Resumo!C6</f>
        <v>FADA — Fundo de Apoio ao Desenvolvimento Agrário   |   Direcção: DSG — Direcção de Serviços Gerais   |   Período: Setembro de 2026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customFormat="false" ht="27.75" hidden="false" customHeight="true" outlineLevel="0" collapsed="false">
      <c r="B3" s="15" t="s">
        <v>23</v>
      </c>
      <c r="C3" s="16" t="s">
        <v>24</v>
      </c>
      <c r="D3" s="17" t="s">
        <v>25</v>
      </c>
      <c r="E3" s="17"/>
      <c r="F3" s="17"/>
      <c r="G3" s="17"/>
    </row>
    <row r="4" customFormat="false" ht="15" hidden="false" customHeight="false" outlineLevel="0" collapsed="false">
      <c r="A4" s="18"/>
      <c r="B4" s="19" t="s">
        <v>26</v>
      </c>
      <c r="C4" s="19"/>
      <c r="D4" s="19"/>
      <c r="E4" s="20" t="n">
        <f aca="false">SUM(E8:E1000)</f>
        <v>0</v>
      </c>
      <c r="F4" s="21" t="n">
        <f aca="false">SUM(F8:F1000)</f>
        <v>0</v>
      </c>
      <c r="G4" s="19"/>
      <c r="H4" s="19"/>
      <c r="I4" s="19"/>
      <c r="J4" s="19"/>
      <c r="K4" s="19"/>
      <c r="L4" s="19"/>
      <c r="M4" s="19"/>
      <c r="N4" s="19"/>
      <c r="O4" s="19"/>
      <c r="P4" s="19"/>
    </row>
    <row r="5" customFormat="false" ht="43.5" hidden="false" customHeight="true" outlineLevel="0" collapsed="false">
      <c r="A5" s="22" t="s">
        <v>27</v>
      </c>
      <c r="B5" s="22" t="s">
        <v>28</v>
      </c>
      <c r="C5" s="22" t="s">
        <v>29</v>
      </c>
      <c r="D5" s="22" t="s">
        <v>30</v>
      </c>
      <c r="E5" s="22" t="s">
        <v>31</v>
      </c>
      <c r="F5" s="22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6" t="s">
        <v>39</v>
      </c>
      <c r="N5" s="6" t="s">
        <v>40</v>
      </c>
      <c r="O5" s="6" t="s">
        <v>41</v>
      </c>
      <c r="P5" s="6" t="s">
        <v>42</v>
      </c>
    </row>
    <row r="6" customFormat="false" ht="36" hidden="false" customHeight="true" outlineLevel="0" collapsed="false">
      <c r="A6" s="23"/>
      <c r="B6" s="23" t="s">
        <v>43</v>
      </c>
      <c r="C6" s="23" t="s">
        <v>44</v>
      </c>
      <c r="D6" s="23" t="s">
        <v>45</v>
      </c>
      <c r="E6" s="23" t="s">
        <v>46</v>
      </c>
      <c r="F6" s="23" t="s">
        <v>47</v>
      </c>
      <c r="G6" s="24" t="s">
        <v>48</v>
      </c>
      <c r="H6" s="24" t="s">
        <v>49</v>
      </c>
      <c r="I6" s="24" t="s">
        <v>50</v>
      </c>
      <c r="J6" s="24" t="s">
        <v>51</v>
      </c>
      <c r="K6" s="24" t="s">
        <v>52</v>
      </c>
      <c r="L6" s="24" t="s">
        <v>53</v>
      </c>
      <c r="M6" s="24" t="s">
        <v>54</v>
      </c>
      <c r="N6" s="24" t="s">
        <v>55</v>
      </c>
      <c r="O6" s="24" t="s">
        <v>56</v>
      </c>
      <c r="P6" s="24" t="s">
        <v>57</v>
      </c>
    </row>
    <row r="7" customFormat="false" ht="30" hidden="false" customHeight="true" outlineLevel="0" collapsed="false">
      <c r="A7" s="25" t="s">
        <v>58</v>
      </c>
      <c r="B7" s="26" t="s">
        <v>59</v>
      </c>
      <c r="C7" s="26" t="s">
        <v>60</v>
      </c>
      <c r="D7" s="26" t="s">
        <v>61</v>
      </c>
      <c r="E7" s="27" t="n">
        <v>350000</v>
      </c>
      <c r="F7" s="28" t="n">
        <v>1</v>
      </c>
      <c r="G7" s="25" t="s">
        <v>62</v>
      </c>
      <c r="H7" s="26" t="s">
        <v>63</v>
      </c>
      <c r="I7" s="26" t="s">
        <v>64</v>
      </c>
      <c r="J7" s="26" t="s">
        <v>65</v>
      </c>
      <c r="K7" s="26" t="s">
        <v>66</v>
      </c>
      <c r="L7" s="26" t="s">
        <v>67</v>
      </c>
      <c r="M7" s="25" t="s">
        <v>68</v>
      </c>
      <c r="N7" s="26" t="s">
        <v>69</v>
      </c>
      <c r="O7" s="25" t="s">
        <v>70</v>
      </c>
      <c r="P7" s="26" t="s">
        <v>71</v>
      </c>
    </row>
    <row r="8" customFormat="false" ht="21.75" hidden="false" customHeight="true" outlineLevel="0" collapsed="false">
      <c r="A8" s="29" t="str">
        <f aca="false">IF(B8="","",ROW()-7)</f>
        <v/>
      </c>
      <c r="B8" s="30"/>
      <c r="C8" s="30"/>
      <c r="D8" s="30"/>
      <c r="E8" s="31"/>
      <c r="F8" s="32"/>
      <c r="G8" s="33"/>
      <c r="H8" s="30"/>
      <c r="I8" s="30"/>
      <c r="J8" s="30"/>
      <c r="K8" s="30"/>
      <c r="L8" s="30"/>
      <c r="M8" s="33"/>
      <c r="N8" s="30"/>
      <c r="O8" s="33"/>
      <c r="P8" s="30"/>
    </row>
    <row r="9" customFormat="false" ht="21.75" hidden="false" customHeight="true" outlineLevel="0" collapsed="false">
      <c r="A9" s="29" t="str">
        <f aca="false">IF(B9="","",ROW()-7)</f>
        <v/>
      </c>
      <c r="B9" s="30"/>
      <c r="C9" s="30"/>
      <c r="D9" s="30"/>
      <c r="E9" s="31"/>
      <c r="F9" s="32"/>
      <c r="G9" s="33"/>
      <c r="H9" s="30"/>
      <c r="I9" s="30"/>
      <c r="J9" s="30"/>
      <c r="K9" s="30"/>
      <c r="L9" s="30"/>
      <c r="M9" s="33"/>
      <c r="N9" s="30"/>
      <c r="O9" s="33"/>
      <c r="P9" s="30"/>
    </row>
    <row r="10" customFormat="false" ht="21.75" hidden="false" customHeight="true" outlineLevel="0" collapsed="false">
      <c r="A10" s="29" t="str">
        <f aca="false">IF(B10="","",ROW()-7)</f>
        <v/>
      </c>
      <c r="B10" s="30"/>
      <c r="C10" s="30"/>
      <c r="D10" s="30"/>
      <c r="E10" s="31"/>
      <c r="F10" s="32"/>
      <c r="G10" s="33"/>
      <c r="H10" s="30"/>
      <c r="I10" s="30"/>
      <c r="J10" s="30"/>
      <c r="K10" s="30"/>
      <c r="L10" s="30"/>
      <c r="M10" s="33"/>
      <c r="N10" s="30"/>
      <c r="O10" s="33"/>
      <c r="P10" s="30"/>
    </row>
    <row r="11" customFormat="false" ht="21.75" hidden="false" customHeight="true" outlineLevel="0" collapsed="false">
      <c r="A11" s="29" t="str">
        <f aca="false">IF(B11="","",ROW()-7)</f>
        <v/>
      </c>
      <c r="B11" s="30"/>
      <c r="C11" s="30"/>
      <c r="D11" s="30"/>
      <c r="E11" s="31"/>
      <c r="F11" s="32"/>
      <c r="G11" s="33"/>
      <c r="H11" s="30"/>
      <c r="I11" s="30"/>
      <c r="J11" s="30"/>
      <c r="K11" s="30"/>
      <c r="L11" s="30"/>
      <c r="M11" s="33"/>
      <c r="N11" s="30"/>
      <c r="O11" s="33"/>
      <c r="P11" s="30"/>
    </row>
    <row r="12" customFormat="false" ht="21.75" hidden="false" customHeight="true" outlineLevel="0" collapsed="false">
      <c r="A12" s="29" t="str">
        <f aca="false">IF(B12="","",ROW()-7)</f>
        <v/>
      </c>
      <c r="B12" s="30"/>
      <c r="C12" s="30"/>
      <c r="D12" s="30"/>
      <c r="E12" s="31"/>
      <c r="F12" s="32"/>
      <c r="G12" s="33"/>
      <c r="H12" s="30"/>
      <c r="I12" s="30"/>
      <c r="J12" s="30"/>
      <c r="K12" s="30"/>
      <c r="L12" s="30"/>
      <c r="M12" s="33"/>
      <c r="N12" s="30"/>
      <c r="O12" s="33"/>
      <c r="P12" s="30"/>
    </row>
    <row r="13" customFormat="false" ht="21.75" hidden="false" customHeight="true" outlineLevel="0" collapsed="false">
      <c r="A13" s="29" t="str">
        <f aca="false">IF(B13="","",ROW()-7)</f>
        <v/>
      </c>
      <c r="B13" s="30"/>
      <c r="C13" s="30"/>
      <c r="D13" s="30"/>
      <c r="E13" s="31"/>
      <c r="F13" s="32"/>
      <c r="G13" s="33"/>
      <c r="H13" s="30"/>
      <c r="I13" s="30"/>
      <c r="J13" s="30"/>
      <c r="K13" s="30"/>
      <c r="L13" s="30"/>
      <c r="M13" s="33"/>
      <c r="N13" s="30"/>
      <c r="O13" s="33"/>
      <c r="P13" s="30"/>
    </row>
    <row r="14" customFormat="false" ht="21.75" hidden="false" customHeight="true" outlineLevel="0" collapsed="false">
      <c r="A14" s="29" t="str">
        <f aca="false">IF(B14="","",ROW()-7)</f>
        <v/>
      </c>
      <c r="B14" s="30"/>
      <c r="C14" s="30"/>
      <c r="D14" s="30"/>
      <c r="E14" s="31"/>
      <c r="F14" s="32"/>
      <c r="G14" s="33"/>
      <c r="H14" s="30"/>
      <c r="I14" s="30"/>
      <c r="J14" s="30"/>
      <c r="K14" s="30"/>
      <c r="L14" s="30"/>
      <c r="M14" s="33"/>
      <c r="N14" s="30"/>
      <c r="O14" s="33"/>
      <c r="P14" s="30"/>
    </row>
    <row r="15" customFormat="false" ht="21.75" hidden="false" customHeight="true" outlineLevel="0" collapsed="false">
      <c r="A15" s="29" t="str">
        <f aca="false">IF(B15="","",ROW()-7)</f>
        <v/>
      </c>
      <c r="B15" s="30"/>
      <c r="C15" s="30"/>
      <c r="D15" s="30"/>
      <c r="E15" s="31"/>
      <c r="F15" s="32"/>
      <c r="G15" s="33"/>
      <c r="H15" s="30"/>
      <c r="I15" s="30"/>
      <c r="J15" s="30"/>
      <c r="K15" s="30"/>
      <c r="L15" s="30"/>
      <c r="M15" s="33"/>
      <c r="N15" s="30"/>
      <c r="O15" s="33"/>
      <c r="P15" s="30"/>
    </row>
    <row r="16" customFormat="false" ht="21.75" hidden="false" customHeight="true" outlineLevel="0" collapsed="false">
      <c r="A16" s="29" t="str">
        <f aca="false">IF(B16="","",ROW()-7)</f>
        <v/>
      </c>
      <c r="B16" s="30"/>
      <c r="C16" s="30"/>
      <c r="D16" s="30"/>
      <c r="E16" s="31"/>
      <c r="F16" s="32"/>
      <c r="G16" s="33"/>
      <c r="H16" s="30"/>
      <c r="I16" s="30"/>
      <c r="J16" s="30"/>
      <c r="K16" s="30"/>
      <c r="L16" s="30"/>
      <c r="M16" s="33"/>
      <c r="N16" s="30"/>
      <c r="O16" s="33"/>
      <c r="P16" s="30"/>
    </row>
    <row r="17" customFormat="false" ht="21.75" hidden="false" customHeight="true" outlineLevel="0" collapsed="false">
      <c r="A17" s="29" t="str">
        <f aca="false">IF(B17="","",ROW()-7)</f>
        <v/>
      </c>
      <c r="B17" s="30"/>
      <c r="C17" s="30"/>
      <c r="D17" s="30"/>
      <c r="E17" s="31"/>
      <c r="F17" s="32"/>
      <c r="G17" s="33"/>
      <c r="H17" s="30"/>
      <c r="I17" s="30"/>
      <c r="J17" s="30"/>
      <c r="K17" s="30"/>
      <c r="L17" s="30"/>
      <c r="M17" s="33"/>
      <c r="N17" s="30"/>
      <c r="O17" s="33"/>
      <c r="P17" s="30"/>
    </row>
    <row r="18" customFormat="false" ht="21.75" hidden="false" customHeight="true" outlineLevel="0" collapsed="false">
      <c r="A18" s="29" t="str">
        <f aca="false">IF(B18="","",ROW()-7)</f>
        <v/>
      </c>
      <c r="B18" s="30"/>
      <c r="C18" s="30"/>
      <c r="D18" s="30"/>
      <c r="E18" s="31"/>
      <c r="F18" s="32"/>
      <c r="G18" s="33"/>
      <c r="H18" s="30"/>
      <c r="I18" s="30"/>
      <c r="J18" s="30"/>
      <c r="K18" s="30"/>
      <c r="L18" s="30"/>
      <c r="M18" s="33"/>
      <c r="N18" s="30"/>
      <c r="O18" s="33"/>
      <c r="P18" s="30"/>
    </row>
    <row r="19" customFormat="false" ht="21.75" hidden="false" customHeight="true" outlineLevel="0" collapsed="false">
      <c r="A19" s="29" t="str">
        <f aca="false">IF(B19="","",ROW()-7)</f>
        <v/>
      </c>
      <c r="B19" s="30"/>
      <c r="C19" s="30"/>
      <c r="D19" s="30"/>
      <c r="E19" s="31"/>
      <c r="F19" s="32"/>
      <c r="G19" s="33"/>
      <c r="H19" s="30"/>
      <c r="I19" s="30"/>
      <c r="J19" s="30"/>
      <c r="K19" s="30"/>
      <c r="L19" s="30"/>
      <c r="M19" s="33"/>
      <c r="N19" s="30"/>
      <c r="O19" s="33"/>
      <c r="P19" s="30"/>
    </row>
    <row r="20" customFormat="false" ht="21.75" hidden="false" customHeight="true" outlineLevel="0" collapsed="false">
      <c r="A20" s="29" t="str">
        <f aca="false">IF(B20="","",ROW()-7)</f>
        <v/>
      </c>
      <c r="B20" s="30"/>
      <c r="C20" s="30"/>
      <c r="D20" s="30"/>
      <c r="E20" s="31"/>
      <c r="F20" s="32"/>
      <c r="G20" s="33"/>
      <c r="H20" s="30"/>
      <c r="I20" s="30"/>
      <c r="J20" s="30"/>
      <c r="K20" s="30"/>
      <c r="L20" s="30"/>
      <c r="M20" s="33"/>
      <c r="N20" s="30"/>
      <c r="O20" s="33"/>
      <c r="P20" s="30"/>
    </row>
    <row r="21" customFormat="false" ht="21.75" hidden="false" customHeight="true" outlineLevel="0" collapsed="false">
      <c r="A21" s="29" t="str">
        <f aca="false">IF(B21="","",ROW()-7)</f>
        <v/>
      </c>
      <c r="B21" s="30"/>
      <c r="C21" s="30"/>
      <c r="D21" s="30"/>
      <c r="E21" s="31"/>
      <c r="F21" s="32"/>
      <c r="G21" s="33"/>
      <c r="H21" s="30"/>
      <c r="I21" s="30"/>
      <c r="J21" s="30"/>
      <c r="K21" s="30"/>
      <c r="L21" s="30"/>
      <c r="M21" s="33"/>
      <c r="N21" s="30"/>
      <c r="O21" s="33"/>
      <c r="P21" s="30"/>
    </row>
    <row r="22" customFormat="false" ht="21.75" hidden="false" customHeight="true" outlineLevel="0" collapsed="false">
      <c r="A22" s="29" t="str">
        <f aca="false">IF(B22="","",ROW()-7)</f>
        <v/>
      </c>
      <c r="B22" s="30"/>
      <c r="C22" s="30"/>
      <c r="D22" s="30"/>
      <c r="E22" s="31"/>
      <c r="F22" s="32"/>
      <c r="G22" s="33"/>
      <c r="H22" s="30"/>
      <c r="I22" s="30"/>
      <c r="J22" s="30"/>
      <c r="K22" s="30"/>
      <c r="L22" s="30"/>
      <c r="M22" s="33"/>
      <c r="N22" s="30"/>
      <c r="O22" s="33"/>
      <c r="P22" s="30"/>
    </row>
    <row r="23" customFormat="false" ht="21.75" hidden="false" customHeight="true" outlineLevel="0" collapsed="false">
      <c r="A23" s="29" t="str">
        <f aca="false">IF(B23="","",ROW()-7)</f>
        <v/>
      </c>
      <c r="B23" s="30"/>
      <c r="C23" s="30"/>
      <c r="D23" s="30"/>
      <c r="E23" s="31"/>
      <c r="F23" s="32"/>
      <c r="G23" s="33"/>
      <c r="H23" s="30"/>
      <c r="I23" s="30"/>
      <c r="J23" s="30"/>
      <c r="K23" s="30"/>
      <c r="L23" s="30"/>
      <c r="M23" s="33"/>
      <c r="N23" s="30"/>
      <c r="O23" s="33"/>
      <c r="P23" s="30"/>
    </row>
    <row r="24" customFormat="false" ht="21.75" hidden="false" customHeight="true" outlineLevel="0" collapsed="false">
      <c r="A24" s="29" t="str">
        <f aca="false">IF(B24="","",ROW()-7)</f>
        <v/>
      </c>
      <c r="B24" s="30"/>
      <c r="C24" s="30"/>
      <c r="D24" s="30"/>
      <c r="E24" s="31"/>
      <c r="F24" s="32"/>
      <c r="G24" s="33"/>
      <c r="H24" s="30"/>
      <c r="I24" s="30"/>
      <c r="J24" s="30"/>
      <c r="K24" s="30"/>
      <c r="L24" s="30"/>
      <c r="M24" s="33"/>
      <c r="N24" s="30"/>
      <c r="O24" s="33"/>
      <c r="P24" s="30"/>
    </row>
    <row r="25" customFormat="false" ht="21.75" hidden="false" customHeight="true" outlineLevel="0" collapsed="false">
      <c r="A25" s="29" t="str">
        <f aca="false">IF(B25="","",ROW()-7)</f>
        <v/>
      </c>
      <c r="B25" s="30"/>
      <c r="C25" s="30"/>
      <c r="D25" s="30"/>
      <c r="E25" s="31"/>
      <c r="F25" s="32"/>
      <c r="G25" s="33"/>
      <c r="H25" s="30"/>
      <c r="I25" s="30"/>
      <c r="J25" s="30"/>
      <c r="K25" s="30"/>
      <c r="L25" s="30"/>
      <c r="M25" s="33"/>
      <c r="N25" s="30"/>
      <c r="O25" s="33"/>
      <c r="P25" s="30"/>
    </row>
    <row r="26" customFormat="false" ht="21.75" hidden="false" customHeight="true" outlineLevel="0" collapsed="false">
      <c r="A26" s="29" t="str">
        <f aca="false">IF(B26="","",ROW()-7)</f>
        <v/>
      </c>
      <c r="B26" s="30"/>
      <c r="C26" s="30"/>
      <c r="D26" s="30"/>
      <c r="E26" s="31"/>
      <c r="F26" s="32"/>
      <c r="G26" s="33"/>
      <c r="H26" s="30"/>
      <c r="I26" s="30"/>
      <c r="J26" s="30"/>
      <c r="K26" s="30"/>
      <c r="L26" s="30"/>
      <c r="M26" s="33"/>
      <c r="N26" s="30"/>
      <c r="O26" s="33"/>
      <c r="P26" s="30"/>
    </row>
    <row r="27" customFormat="false" ht="21.75" hidden="false" customHeight="true" outlineLevel="0" collapsed="false">
      <c r="A27" s="29" t="str">
        <f aca="false">IF(B27="","",ROW()-7)</f>
        <v/>
      </c>
      <c r="B27" s="30"/>
      <c r="C27" s="30"/>
      <c r="D27" s="30"/>
      <c r="E27" s="31"/>
      <c r="F27" s="32"/>
      <c r="G27" s="33"/>
      <c r="H27" s="30"/>
      <c r="I27" s="30"/>
      <c r="J27" s="30"/>
      <c r="K27" s="30"/>
      <c r="L27" s="30"/>
      <c r="M27" s="33"/>
      <c r="N27" s="30"/>
      <c r="O27" s="33"/>
      <c r="P27" s="30"/>
    </row>
    <row r="28" customFormat="false" ht="21.75" hidden="false" customHeight="true" outlineLevel="0" collapsed="false">
      <c r="A28" s="29" t="str">
        <f aca="false">IF(B28="","",ROW()-7)</f>
        <v/>
      </c>
      <c r="B28" s="30"/>
      <c r="C28" s="30"/>
      <c r="D28" s="30"/>
      <c r="E28" s="31"/>
      <c r="F28" s="32"/>
      <c r="G28" s="33"/>
      <c r="H28" s="30"/>
      <c r="I28" s="30"/>
      <c r="J28" s="30"/>
      <c r="K28" s="30"/>
      <c r="L28" s="30"/>
      <c r="M28" s="33"/>
      <c r="N28" s="30"/>
      <c r="O28" s="33"/>
      <c r="P28" s="30"/>
    </row>
    <row r="29" customFormat="false" ht="21.75" hidden="false" customHeight="true" outlineLevel="0" collapsed="false">
      <c r="A29" s="29" t="str">
        <f aca="false">IF(B29="","",ROW()-7)</f>
        <v/>
      </c>
      <c r="B29" s="30"/>
      <c r="C29" s="30"/>
      <c r="D29" s="30"/>
      <c r="E29" s="31"/>
      <c r="F29" s="32"/>
      <c r="G29" s="33"/>
      <c r="H29" s="30"/>
      <c r="I29" s="30"/>
      <c r="J29" s="30"/>
      <c r="K29" s="30"/>
      <c r="L29" s="30"/>
      <c r="M29" s="33"/>
      <c r="N29" s="30"/>
      <c r="O29" s="33"/>
      <c r="P29" s="30"/>
    </row>
    <row r="30" customFormat="false" ht="21.75" hidden="false" customHeight="true" outlineLevel="0" collapsed="false">
      <c r="A30" s="29" t="str">
        <f aca="false">IF(B30="","",ROW()-7)</f>
        <v/>
      </c>
      <c r="B30" s="30"/>
      <c r="C30" s="30"/>
      <c r="D30" s="30"/>
      <c r="E30" s="31"/>
      <c r="F30" s="32"/>
      <c r="G30" s="33"/>
      <c r="H30" s="30"/>
      <c r="I30" s="30"/>
      <c r="J30" s="30"/>
      <c r="K30" s="30"/>
      <c r="L30" s="30"/>
      <c r="M30" s="33"/>
      <c r="N30" s="30"/>
      <c r="O30" s="33"/>
      <c r="P30" s="30"/>
    </row>
    <row r="31" customFormat="false" ht="21.75" hidden="false" customHeight="true" outlineLevel="0" collapsed="false">
      <c r="A31" s="29" t="str">
        <f aca="false">IF(B31="","",ROW()-7)</f>
        <v/>
      </c>
      <c r="B31" s="30"/>
      <c r="C31" s="30"/>
      <c r="D31" s="30"/>
      <c r="E31" s="31"/>
      <c r="F31" s="32"/>
      <c r="G31" s="33"/>
      <c r="H31" s="30"/>
      <c r="I31" s="30"/>
      <c r="J31" s="30"/>
      <c r="K31" s="30"/>
      <c r="L31" s="30"/>
      <c r="M31" s="33"/>
      <c r="N31" s="30"/>
      <c r="O31" s="33"/>
      <c r="P31" s="30"/>
    </row>
    <row r="32" customFormat="false" ht="21.75" hidden="false" customHeight="true" outlineLevel="0" collapsed="false">
      <c r="A32" s="29" t="str">
        <f aca="false">IF(B32="","",ROW()-7)</f>
        <v/>
      </c>
      <c r="B32" s="30"/>
      <c r="C32" s="30"/>
      <c r="D32" s="30"/>
      <c r="E32" s="31"/>
      <c r="F32" s="32"/>
      <c r="G32" s="33"/>
      <c r="H32" s="30"/>
      <c r="I32" s="30"/>
      <c r="J32" s="30"/>
      <c r="K32" s="30"/>
      <c r="L32" s="30"/>
      <c r="M32" s="33"/>
      <c r="N32" s="30"/>
      <c r="O32" s="33"/>
      <c r="P32" s="30"/>
    </row>
    <row r="33" customFormat="false" ht="21.75" hidden="false" customHeight="true" outlineLevel="0" collapsed="false">
      <c r="A33" s="29" t="str">
        <f aca="false">IF(B33="","",ROW()-7)</f>
        <v/>
      </c>
      <c r="B33" s="30"/>
      <c r="C33" s="30"/>
      <c r="D33" s="30"/>
      <c r="E33" s="31"/>
      <c r="F33" s="32"/>
      <c r="G33" s="33"/>
      <c r="H33" s="30"/>
      <c r="I33" s="30"/>
      <c r="J33" s="30"/>
      <c r="K33" s="30"/>
      <c r="L33" s="30"/>
      <c r="M33" s="33"/>
      <c r="N33" s="30"/>
      <c r="O33" s="33"/>
      <c r="P33" s="30"/>
    </row>
    <row r="34" customFormat="false" ht="21.75" hidden="false" customHeight="true" outlineLevel="0" collapsed="false">
      <c r="A34" s="29" t="str">
        <f aca="false">IF(B34="","",ROW()-7)</f>
        <v/>
      </c>
      <c r="B34" s="30"/>
      <c r="C34" s="30"/>
      <c r="D34" s="30"/>
      <c r="E34" s="31"/>
      <c r="F34" s="32"/>
      <c r="G34" s="33"/>
      <c r="H34" s="30"/>
      <c r="I34" s="30"/>
      <c r="J34" s="30"/>
      <c r="K34" s="30"/>
      <c r="L34" s="30"/>
      <c r="M34" s="33"/>
      <c r="N34" s="30"/>
      <c r="O34" s="33"/>
      <c r="P34" s="30"/>
    </row>
    <row r="35" customFormat="false" ht="21.75" hidden="false" customHeight="true" outlineLevel="0" collapsed="false">
      <c r="A35" s="29" t="str">
        <f aca="false">IF(B35="","",ROW()-7)</f>
        <v/>
      </c>
      <c r="B35" s="30"/>
      <c r="C35" s="30"/>
      <c r="D35" s="30"/>
      <c r="E35" s="31"/>
      <c r="F35" s="32"/>
      <c r="G35" s="33"/>
      <c r="H35" s="30"/>
      <c r="I35" s="30"/>
      <c r="J35" s="30"/>
      <c r="K35" s="30"/>
      <c r="L35" s="30"/>
      <c r="M35" s="33"/>
      <c r="N35" s="30"/>
      <c r="O35" s="33"/>
      <c r="P35" s="30"/>
    </row>
    <row r="36" customFormat="false" ht="21.75" hidden="false" customHeight="true" outlineLevel="0" collapsed="false">
      <c r="A36" s="29" t="str">
        <f aca="false">IF(B36="","",ROW()-7)</f>
        <v/>
      </c>
      <c r="B36" s="30"/>
      <c r="C36" s="30"/>
      <c r="D36" s="30"/>
      <c r="E36" s="31"/>
      <c r="F36" s="32"/>
      <c r="G36" s="33"/>
      <c r="H36" s="30"/>
      <c r="I36" s="30"/>
      <c r="J36" s="30"/>
      <c r="K36" s="30"/>
      <c r="L36" s="30"/>
      <c r="M36" s="33"/>
      <c r="N36" s="30"/>
      <c r="O36" s="33"/>
      <c r="P36" s="30"/>
    </row>
    <row r="37" customFormat="false" ht="21.75" hidden="false" customHeight="true" outlineLevel="0" collapsed="false">
      <c r="A37" s="29" t="str">
        <f aca="false">IF(B37="","",ROW()-7)</f>
        <v/>
      </c>
      <c r="B37" s="30"/>
      <c r="C37" s="30"/>
      <c r="D37" s="30"/>
      <c r="E37" s="31"/>
      <c r="F37" s="32"/>
      <c r="G37" s="33"/>
      <c r="H37" s="30"/>
      <c r="I37" s="30"/>
      <c r="J37" s="30"/>
      <c r="K37" s="30"/>
      <c r="L37" s="30"/>
      <c r="M37" s="33"/>
      <c r="N37" s="30"/>
      <c r="O37" s="33"/>
      <c r="P37" s="30"/>
    </row>
    <row r="38" customFormat="false" ht="21.75" hidden="false" customHeight="true" outlineLevel="0" collapsed="false">
      <c r="A38" s="29" t="str">
        <f aca="false">IF(B38="","",ROW()-7)</f>
        <v/>
      </c>
      <c r="B38" s="30"/>
      <c r="C38" s="30"/>
      <c r="D38" s="30"/>
      <c r="E38" s="31"/>
      <c r="F38" s="32"/>
      <c r="G38" s="33"/>
      <c r="H38" s="30"/>
      <c r="I38" s="30"/>
      <c r="J38" s="30"/>
      <c r="K38" s="30"/>
      <c r="L38" s="30"/>
      <c r="M38" s="33"/>
      <c r="N38" s="30"/>
      <c r="O38" s="33"/>
      <c r="P38" s="30"/>
    </row>
    <row r="39" customFormat="false" ht="21.75" hidden="false" customHeight="true" outlineLevel="0" collapsed="false">
      <c r="A39" s="29" t="str">
        <f aca="false">IF(B39="","",ROW()-7)</f>
        <v/>
      </c>
      <c r="B39" s="30"/>
      <c r="C39" s="30"/>
      <c r="D39" s="30"/>
      <c r="E39" s="31"/>
      <c r="F39" s="32"/>
      <c r="G39" s="33"/>
      <c r="H39" s="30"/>
      <c r="I39" s="30"/>
      <c r="J39" s="30"/>
      <c r="K39" s="30"/>
      <c r="L39" s="30"/>
      <c r="M39" s="33"/>
      <c r="N39" s="30"/>
      <c r="O39" s="33"/>
      <c r="P39" s="30"/>
    </row>
    <row r="40" customFormat="false" ht="21.75" hidden="false" customHeight="true" outlineLevel="0" collapsed="false">
      <c r="A40" s="29" t="str">
        <f aca="false">IF(B40="","",ROW()-7)</f>
        <v/>
      </c>
      <c r="B40" s="30"/>
      <c r="C40" s="30"/>
      <c r="D40" s="30"/>
      <c r="E40" s="31"/>
      <c r="F40" s="32"/>
      <c r="G40" s="33"/>
      <c r="H40" s="30"/>
      <c r="I40" s="30"/>
      <c r="J40" s="30"/>
      <c r="K40" s="30"/>
      <c r="L40" s="30"/>
      <c r="M40" s="33"/>
      <c r="N40" s="30"/>
      <c r="O40" s="33"/>
      <c r="P40" s="30"/>
    </row>
    <row r="41" customFormat="false" ht="21.75" hidden="false" customHeight="true" outlineLevel="0" collapsed="false">
      <c r="A41" s="29" t="str">
        <f aca="false">IF(B41="","",ROW()-7)</f>
        <v/>
      </c>
      <c r="B41" s="30"/>
      <c r="C41" s="30"/>
      <c r="D41" s="30"/>
      <c r="E41" s="31"/>
      <c r="F41" s="32"/>
      <c r="G41" s="33"/>
      <c r="H41" s="30"/>
      <c r="I41" s="30"/>
      <c r="J41" s="30"/>
      <c r="K41" s="30"/>
      <c r="L41" s="30"/>
      <c r="M41" s="33"/>
      <c r="N41" s="30"/>
      <c r="O41" s="33"/>
      <c r="P41" s="30"/>
    </row>
    <row r="42" customFormat="false" ht="21.75" hidden="false" customHeight="true" outlineLevel="0" collapsed="false">
      <c r="A42" s="29" t="str">
        <f aca="false">IF(B42="","",ROW()-7)</f>
        <v/>
      </c>
      <c r="B42" s="30"/>
      <c r="C42" s="30"/>
      <c r="D42" s="30"/>
      <c r="E42" s="31"/>
      <c r="F42" s="32"/>
      <c r="G42" s="33"/>
      <c r="H42" s="30"/>
      <c r="I42" s="30"/>
      <c r="J42" s="30"/>
      <c r="K42" s="30"/>
      <c r="L42" s="30"/>
      <c r="M42" s="33"/>
      <c r="N42" s="30"/>
      <c r="O42" s="33"/>
      <c r="P42" s="30"/>
    </row>
    <row r="43" customFormat="false" ht="21.75" hidden="false" customHeight="true" outlineLevel="0" collapsed="false">
      <c r="A43" s="29" t="str">
        <f aca="false">IF(B43="","",ROW()-7)</f>
        <v/>
      </c>
      <c r="B43" s="30"/>
      <c r="C43" s="30"/>
      <c r="D43" s="30"/>
      <c r="E43" s="31"/>
      <c r="F43" s="32"/>
      <c r="G43" s="33"/>
      <c r="H43" s="30"/>
      <c r="I43" s="30"/>
      <c r="J43" s="30"/>
      <c r="K43" s="30"/>
      <c r="L43" s="30"/>
      <c r="M43" s="33"/>
      <c r="N43" s="30"/>
      <c r="O43" s="33"/>
      <c r="P43" s="30"/>
    </row>
    <row r="44" customFormat="false" ht="21.75" hidden="false" customHeight="true" outlineLevel="0" collapsed="false">
      <c r="A44" s="29" t="str">
        <f aca="false">IF(B44="","",ROW()-7)</f>
        <v/>
      </c>
      <c r="B44" s="30"/>
      <c r="C44" s="30"/>
      <c r="D44" s="30"/>
      <c r="E44" s="31"/>
      <c r="F44" s="32"/>
      <c r="G44" s="33"/>
      <c r="H44" s="30"/>
      <c r="I44" s="30"/>
      <c r="J44" s="30"/>
      <c r="K44" s="30"/>
      <c r="L44" s="30"/>
      <c r="M44" s="33"/>
      <c r="N44" s="30"/>
      <c r="O44" s="33"/>
      <c r="P44" s="30"/>
    </row>
    <row r="45" customFormat="false" ht="21.75" hidden="false" customHeight="true" outlineLevel="0" collapsed="false">
      <c r="A45" s="29" t="str">
        <f aca="false">IF(B45="","",ROW()-7)</f>
        <v/>
      </c>
      <c r="B45" s="30"/>
      <c r="C45" s="30"/>
      <c r="D45" s="30"/>
      <c r="E45" s="31"/>
      <c r="F45" s="32"/>
      <c r="G45" s="33"/>
      <c r="H45" s="30"/>
      <c r="I45" s="30"/>
      <c r="J45" s="30"/>
      <c r="K45" s="30"/>
      <c r="L45" s="30"/>
      <c r="M45" s="33"/>
      <c r="N45" s="30"/>
      <c r="O45" s="33"/>
      <c r="P45" s="30"/>
    </row>
    <row r="46" customFormat="false" ht="21.75" hidden="false" customHeight="true" outlineLevel="0" collapsed="false">
      <c r="A46" s="29" t="str">
        <f aca="false">IF(B46="","",ROW()-7)</f>
        <v/>
      </c>
      <c r="B46" s="30"/>
      <c r="C46" s="30"/>
      <c r="D46" s="30"/>
      <c r="E46" s="31"/>
      <c r="F46" s="32"/>
      <c r="G46" s="33"/>
      <c r="H46" s="30"/>
      <c r="I46" s="30"/>
      <c r="J46" s="30"/>
      <c r="K46" s="30"/>
      <c r="L46" s="30"/>
      <c r="M46" s="33"/>
      <c r="N46" s="30"/>
      <c r="O46" s="33"/>
      <c r="P46" s="30"/>
    </row>
    <row r="47" customFormat="false" ht="21.75" hidden="false" customHeight="true" outlineLevel="0" collapsed="false">
      <c r="A47" s="29" t="str">
        <f aca="false">IF(B47="","",ROW()-7)</f>
        <v/>
      </c>
      <c r="B47" s="30"/>
      <c r="C47" s="30"/>
      <c r="D47" s="30"/>
      <c r="E47" s="31"/>
      <c r="F47" s="32"/>
      <c r="G47" s="33"/>
      <c r="H47" s="30"/>
      <c r="I47" s="30"/>
      <c r="J47" s="30"/>
      <c r="K47" s="30"/>
      <c r="L47" s="30"/>
      <c r="M47" s="33"/>
      <c r="N47" s="30"/>
      <c r="O47" s="33"/>
      <c r="P47" s="30"/>
    </row>
    <row r="48" customFormat="false" ht="21.75" hidden="false" customHeight="true" outlineLevel="0" collapsed="false">
      <c r="A48" s="29" t="str">
        <f aca="false">IF(B48="","",ROW()-7)</f>
        <v/>
      </c>
      <c r="B48" s="30"/>
      <c r="C48" s="30"/>
      <c r="D48" s="30"/>
      <c r="E48" s="31"/>
      <c r="F48" s="32"/>
      <c r="G48" s="33"/>
      <c r="H48" s="30"/>
      <c r="I48" s="30"/>
      <c r="J48" s="30"/>
      <c r="K48" s="30"/>
      <c r="L48" s="30"/>
      <c r="M48" s="33"/>
      <c r="N48" s="30"/>
      <c r="O48" s="33"/>
      <c r="P48" s="30"/>
    </row>
    <row r="49" customFormat="false" ht="21.75" hidden="false" customHeight="true" outlineLevel="0" collapsed="false">
      <c r="A49" s="29" t="str">
        <f aca="false">IF(B49="","",ROW()-7)</f>
        <v/>
      </c>
      <c r="B49" s="30"/>
      <c r="C49" s="30"/>
      <c r="D49" s="30"/>
      <c r="E49" s="31"/>
      <c r="F49" s="32"/>
      <c r="G49" s="33"/>
      <c r="H49" s="30"/>
      <c r="I49" s="30"/>
      <c r="J49" s="30"/>
      <c r="K49" s="30"/>
      <c r="L49" s="30"/>
      <c r="M49" s="33"/>
      <c r="N49" s="30"/>
      <c r="O49" s="33"/>
      <c r="P49" s="30"/>
    </row>
    <row r="50" customFormat="false" ht="21.75" hidden="false" customHeight="true" outlineLevel="0" collapsed="false">
      <c r="A50" s="29" t="str">
        <f aca="false">IF(B50="","",ROW()-7)</f>
        <v/>
      </c>
      <c r="B50" s="30"/>
      <c r="C50" s="30"/>
      <c r="D50" s="30"/>
      <c r="E50" s="31"/>
      <c r="F50" s="32"/>
      <c r="G50" s="33"/>
      <c r="H50" s="30"/>
      <c r="I50" s="30"/>
      <c r="J50" s="30"/>
      <c r="K50" s="30"/>
      <c r="L50" s="30"/>
      <c r="M50" s="33"/>
      <c r="N50" s="30"/>
      <c r="O50" s="33"/>
      <c r="P50" s="30"/>
    </row>
    <row r="51" customFormat="false" ht="21.75" hidden="false" customHeight="true" outlineLevel="0" collapsed="false">
      <c r="A51" s="29" t="str">
        <f aca="false">IF(B51="","",ROW()-7)</f>
        <v/>
      </c>
      <c r="B51" s="30"/>
      <c r="C51" s="30"/>
      <c r="D51" s="30"/>
      <c r="E51" s="31"/>
      <c r="F51" s="32"/>
      <c r="G51" s="33"/>
      <c r="H51" s="30"/>
      <c r="I51" s="30"/>
      <c r="J51" s="30"/>
      <c r="K51" s="30"/>
      <c r="L51" s="30"/>
      <c r="M51" s="33"/>
      <c r="N51" s="30"/>
      <c r="O51" s="33"/>
      <c r="P51" s="30"/>
    </row>
    <row r="52" customFormat="false" ht="21.75" hidden="false" customHeight="true" outlineLevel="0" collapsed="false">
      <c r="A52" s="29" t="str">
        <f aca="false">IF(B52="","",ROW()-7)</f>
        <v/>
      </c>
      <c r="B52" s="30"/>
      <c r="C52" s="30"/>
      <c r="D52" s="30"/>
      <c r="E52" s="31"/>
      <c r="F52" s="32"/>
      <c r="G52" s="33"/>
      <c r="H52" s="30"/>
      <c r="I52" s="30"/>
      <c r="J52" s="30"/>
      <c r="K52" s="30"/>
      <c r="L52" s="30"/>
      <c r="M52" s="33"/>
      <c r="N52" s="30"/>
      <c r="O52" s="33"/>
      <c r="P52" s="30"/>
    </row>
    <row r="53" customFormat="false" ht="21.75" hidden="false" customHeight="true" outlineLevel="0" collapsed="false">
      <c r="A53" s="29" t="str">
        <f aca="false">IF(B53="","",ROW()-7)</f>
        <v/>
      </c>
      <c r="B53" s="30"/>
      <c r="C53" s="30"/>
      <c r="D53" s="30"/>
      <c r="E53" s="31"/>
      <c r="F53" s="32"/>
      <c r="G53" s="33"/>
      <c r="H53" s="30"/>
      <c r="I53" s="30"/>
      <c r="J53" s="30"/>
      <c r="K53" s="30"/>
      <c r="L53" s="30"/>
      <c r="M53" s="33"/>
      <c r="N53" s="30"/>
      <c r="O53" s="33"/>
      <c r="P53" s="30"/>
    </row>
    <row r="54" customFormat="false" ht="21.75" hidden="false" customHeight="true" outlineLevel="0" collapsed="false">
      <c r="A54" s="29" t="str">
        <f aca="false">IF(B54="","",ROW()-7)</f>
        <v/>
      </c>
      <c r="B54" s="30"/>
      <c r="C54" s="30"/>
      <c r="D54" s="30"/>
      <c r="E54" s="31"/>
      <c r="F54" s="32"/>
      <c r="G54" s="33"/>
      <c r="H54" s="30"/>
      <c r="I54" s="30"/>
      <c r="J54" s="30"/>
      <c r="K54" s="30"/>
      <c r="L54" s="30"/>
      <c r="M54" s="33"/>
      <c r="N54" s="30"/>
      <c r="O54" s="33"/>
      <c r="P54" s="30"/>
    </row>
    <row r="55" customFormat="false" ht="21.75" hidden="false" customHeight="true" outlineLevel="0" collapsed="false">
      <c r="A55" s="29" t="str">
        <f aca="false">IF(B55="","",ROW()-7)</f>
        <v/>
      </c>
      <c r="B55" s="30"/>
      <c r="C55" s="30"/>
      <c r="D55" s="30"/>
      <c r="E55" s="31"/>
      <c r="F55" s="32"/>
      <c r="G55" s="33"/>
      <c r="H55" s="30"/>
      <c r="I55" s="30"/>
      <c r="J55" s="30"/>
      <c r="K55" s="30"/>
      <c r="L55" s="30"/>
      <c r="M55" s="33"/>
      <c r="N55" s="30"/>
      <c r="O55" s="33"/>
      <c r="P55" s="30"/>
    </row>
    <row r="56" customFormat="false" ht="21.75" hidden="false" customHeight="true" outlineLevel="0" collapsed="false">
      <c r="A56" s="29" t="str">
        <f aca="false">IF(B56="","",ROW()-7)</f>
        <v/>
      </c>
      <c r="B56" s="30"/>
      <c r="C56" s="30"/>
      <c r="D56" s="30"/>
      <c r="E56" s="31"/>
      <c r="F56" s="32"/>
      <c r="G56" s="33"/>
      <c r="H56" s="30"/>
      <c r="I56" s="30"/>
      <c r="J56" s="30"/>
      <c r="K56" s="30"/>
      <c r="L56" s="30"/>
      <c r="M56" s="33"/>
      <c r="N56" s="30"/>
      <c r="O56" s="33"/>
      <c r="P56" s="30"/>
    </row>
    <row r="57" customFormat="false" ht="21.75" hidden="false" customHeight="true" outlineLevel="0" collapsed="false">
      <c r="A57" s="29" t="str">
        <f aca="false">IF(B57="","",ROW()-7)</f>
        <v/>
      </c>
      <c r="B57" s="30"/>
      <c r="C57" s="30"/>
      <c r="D57" s="30"/>
      <c r="E57" s="31"/>
      <c r="F57" s="32"/>
      <c r="G57" s="33"/>
      <c r="H57" s="30"/>
      <c r="I57" s="30"/>
      <c r="J57" s="30"/>
      <c r="K57" s="30"/>
      <c r="L57" s="30"/>
      <c r="M57" s="33"/>
      <c r="N57" s="30"/>
      <c r="O57" s="33"/>
      <c r="P57" s="30"/>
    </row>
  </sheetData>
  <mergeCells count="3">
    <mergeCell ref="A1:P1"/>
    <mergeCell ref="A2:P2"/>
    <mergeCell ref="D3:G3"/>
  </mergeCells>
  <dataValidations count="2">
    <dataValidation allowBlank="true" error="Seleccione um valor da lista." errorStyle="stop" errorTitle="Valor inválido" operator="between" showDropDown="false" showErrorMessage="true" showInputMessage="false" sqref="I8:I57" type="list">
      <formula1>Listas!$B$2:$B$3</formula1>
      <formula2>0</formula2>
    </dataValidation>
    <dataValidation allowBlank="true" error="Seleccione um valor da lista." errorStyle="stop" errorTitle="Valor inválido" operator="between" showDropDown="false" showErrorMessage="true" showInputMessage="false" sqref="L8:L57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7" min="17" style="0" width="26"/>
    <col collapsed="false" customWidth="true" hidden="false" outlineLevel="0" max="18" min="18" style="0" width="30"/>
  </cols>
  <sheetData>
    <row r="1" customFormat="false" ht="25.5" hidden="false" customHeight="true" outlineLevel="0" collapsed="false">
      <c r="A1" s="13" t="s">
        <v>72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customFormat="false" ht="15" hidden="false" customHeight="false" outlineLevel="0" collapsed="false">
      <c r="A2" s="14" t="str">
        <f aca="false">"FADA — Fundo de Apoio ao Desenvolvimento Agrário   |   Direcção: "&amp;Resumo!C5&amp;"   |   Período: "&amp;Resumo!C6</f>
        <v>FADA — Fundo de Apoio ao Desenvolvimento Agrário   |   Direcção: DSG — Direcção de Serviços Gerais   |   Período: Setembro de 2026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customFormat="false" ht="27.75" hidden="false" customHeight="true" outlineLevel="0" collapsed="false">
      <c r="B3" s="15" t="s">
        <v>23</v>
      </c>
      <c r="C3" s="16" t="s">
        <v>24</v>
      </c>
      <c r="D3" s="17" t="s">
        <v>25</v>
      </c>
      <c r="E3" s="17"/>
      <c r="F3" s="17"/>
      <c r="G3" s="17"/>
    </row>
    <row r="4" customFormat="false" ht="15" hidden="false" customHeight="false" outlineLevel="0" collapsed="false">
      <c r="A4" s="18"/>
      <c r="B4" s="19" t="s">
        <v>26</v>
      </c>
      <c r="C4" s="19"/>
      <c r="D4" s="21" t="n">
        <f aca="false">SUM(D8:D1000)</f>
        <v>0</v>
      </c>
      <c r="E4" s="19"/>
      <c r="F4" s="20" t="n">
        <f aca="false">SUM(F8:F1000)</f>
        <v>0</v>
      </c>
      <c r="G4" s="21" t="n">
        <f aca="false">SUM(G8:G1000)</f>
        <v>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customFormat="false" ht="43.5" hidden="false" customHeight="true" outlineLevel="0" collapsed="false">
      <c r="A5" s="22" t="s">
        <v>27</v>
      </c>
      <c r="B5" s="22" t="s">
        <v>73</v>
      </c>
      <c r="C5" s="22" t="s">
        <v>74</v>
      </c>
      <c r="D5" s="22" t="s">
        <v>75</v>
      </c>
      <c r="E5" s="22" t="s">
        <v>76</v>
      </c>
      <c r="F5" s="22" t="s">
        <v>31</v>
      </c>
      <c r="G5" s="22" t="s">
        <v>77</v>
      </c>
      <c r="H5" s="6" t="s">
        <v>33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6" t="s">
        <v>78</v>
      </c>
      <c r="R5" s="6" t="s">
        <v>42</v>
      </c>
    </row>
    <row r="6" customFormat="false" ht="36" hidden="false" customHeight="true" outlineLevel="0" collapsed="false">
      <c r="A6" s="23"/>
      <c r="B6" s="23" t="s">
        <v>79</v>
      </c>
      <c r="C6" s="23" t="s">
        <v>80</v>
      </c>
      <c r="D6" s="23" t="s">
        <v>81</v>
      </c>
      <c r="E6" s="23" t="s">
        <v>82</v>
      </c>
      <c r="F6" s="23" t="s">
        <v>46</v>
      </c>
      <c r="G6" s="23" t="s">
        <v>83</v>
      </c>
      <c r="H6" s="24" t="s">
        <v>48</v>
      </c>
      <c r="I6" s="24" t="s">
        <v>49</v>
      </c>
      <c r="J6" s="24" t="s">
        <v>50</v>
      </c>
      <c r="K6" s="24" t="s">
        <v>51</v>
      </c>
      <c r="L6" s="24" t="s">
        <v>52</v>
      </c>
      <c r="M6" s="24" t="s">
        <v>53</v>
      </c>
      <c r="N6" s="24" t="s">
        <v>54</v>
      </c>
      <c r="O6" s="24" t="s">
        <v>55</v>
      </c>
      <c r="P6" s="24" t="s">
        <v>56</v>
      </c>
      <c r="Q6" s="24" t="s">
        <v>84</v>
      </c>
      <c r="R6" s="24" t="s">
        <v>57</v>
      </c>
    </row>
    <row r="7" customFormat="false" ht="30" hidden="false" customHeight="true" outlineLevel="0" collapsed="false">
      <c r="A7" s="25" t="s">
        <v>58</v>
      </c>
      <c r="B7" s="26" t="s">
        <v>85</v>
      </c>
      <c r="C7" s="26" t="s">
        <v>86</v>
      </c>
      <c r="D7" s="28" t="n">
        <v>50</v>
      </c>
      <c r="E7" s="26" t="s">
        <v>87</v>
      </c>
      <c r="F7" s="27" t="n">
        <v>425000</v>
      </c>
      <c r="G7" s="28" t="n">
        <v>1</v>
      </c>
      <c r="H7" s="25" t="s">
        <v>62</v>
      </c>
      <c r="I7" s="26" t="s">
        <v>88</v>
      </c>
      <c r="J7" s="26" t="s">
        <v>64</v>
      </c>
      <c r="K7" s="26" t="s">
        <v>89</v>
      </c>
      <c r="L7" s="26" t="s">
        <v>90</v>
      </c>
      <c r="M7" s="26" t="s">
        <v>67</v>
      </c>
      <c r="N7" s="25" t="s">
        <v>68</v>
      </c>
      <c r="O7" s="26" t="s">
        <v>91</v>
      </c>
      <c r="P7" s="25" t="s">
        <v>70</v>
      </c>
      <c r="Q7" s="26" t="s">
        <v>92</v>
      </c>
      <c r="R7" s="26" t="s">
        <v>71</v>
      </c>
    </row>
    <row r="8" customFormat="false" ht="21.75" hidden="false" customHeight="true" outlineLevel="0" collapsed="false">
      <c r="A8" s="29" t="str">
        <f aca="false">IF(B8="","",ROW()-7)</f>
        <v/>
      </c>
      <c r="B8" s="30"/>
      <c r="C8" s="30"/>
      <c r="D8" s="32"/>
      <c r="E8" s="30"/>
      <c r="F8" s="31"/>
      <c r="G8" s="32"/>
      <c r="H8" s="33"/>
      <c r="I8" s="30"/>
      <c r="J8" s="30"/>
      <c r="K8" s="30"/>
      <c r="L8" s="30"/>
      <c r="M8" s="30"/>
      <c r="N8" s="33"/>
      <c r="O8" s="30"/>
      <c r="P8" s="33"/>
      <c r="Q8" s="30"/>
      <c r="R8" s="30"/>
    </row>
    <row r="9" customFormat="false" ht="21.75" hidden="false" customHeight="true" outlineLevel="0" collapsed="false">
      <c r="A9" s="29" t="str">
        <f aca="false">IF(B9="","",ROW()-7)</f>
        <v/>
      </c>
      <c r="B9" s="30"/>
      <c r="C9" s="30"/>
      <c r="D9" s="32"/>
      <c r="E9" s="30"/>
      <c r="F9" s="31"/>
      <c r="G9" s="32"/>
      <c r="H9" s="33"/>
      <c r="I9" s="30"/>
      <c r="J9" s="30"/>
      <c r="K9" s="30"/>
      <c r="L9" s="30"/>
      <c r="M9" s="30"/>
      <c r="N9" s="33"/>
      <c r="O9" s="30"/>
      <c r="P9" s="33"/>
      <c r="Q9" s="30"/>
      <c r="R9" s="30"/>
    </row>
    <row r="10" customFormat="false" ht="21.75" hidden="false" customHeight="true" outlineLevel="0" collapsed="false">
      <c r="A10" s="29" t="str">
        <f aca="false">IF(B10="","",ROW()-7)</f>
        <v/>
      </c>
      <c r="B10" s="30"/>
      <c r="C10" s="30"/>
      <c r="D10" s="32"/>
      <c r="E10" s="30"/>
      <c r="F10" s="31"/>
      <c r="G10" s="32"/>
      <c r="H10" s="33"/>
      <c r="I10" s="30"/>
      <c r="J10" s="30"/>
      <c r="K10" s="30"/>
      <c r="L10" s="30"/>
      <c r="M10" s="30"/>
      <c r="N10" s="33"/>
      <c r="O10" s="30"/>
      <c r="P10" s="33"/>
      <c r="Q10" s="30"/>
      <c r="R10" s="30"/>
    </row>
    <row r="11" customFormat="false" ht="21.75" hidden="false" customHeight="true" outlineLevel="0" collapsed="false">
      <c r="A11" s="29" t="str">
        <f aca="false">IF(B11="","",ROW()-7)</f>
        <v/>
      </c>
      <c r="B11" s="30"/>
      <c r="C11" s="30"/>
      <c r="D11" s="32"/>
      <c r="E11" s="30"/>
      <c r="F11" s="31"/>
      <c r="G11" s="32"/>
      <c r="H11" s="33"/>
      <c r="I11" s="30"/>
      <c r="J11" s="30"/>
      <c r="K11" s="30"/>
      <c r="L11" s="30"/>
      <c r="M11" s="30"/>
      <c r="N11" s="33"/>
      <c r="O11" s="30"/>
      <c r="P11" s="33"/>
      <c r="Q11" s="30"/>
      <c r="R11" s="30"/>
    </row>
    <row r="12" customFormat="false" ht="21.75" hidden="false" customHeight="true" outlineLevel="0" collapsed="false">
      <c r="A12" s="29" t="str">
        <f aca="false">IF(B12="","",ROW()-7)</f>
        <v/>
      </c>
      <c r="B12" s="30"/>
      <c r="C12" s="30"/>
      <c r="D12" s="32"/>
      <c r="E12" s="30"/>
      <c r="F12" s="31"/>
      <c r="G12" s="32"/>
      <c r="H12" s="33"/>
      <c r="I12" s="30"/>
      <c r="J12" s="30"/>
      <c r="K12" s="30"/>
      <c r="L12" s="30"/>
      <c r="M12" s="30"/>
      <c r="N12" s="33"/>
      <c r="O12" s="30"/>
      <c r="P12" s="33"/>
      <c r="Q12" s="30"/>
      <c r="R12" s="30"/>
    </row>
    <row r="13" customFormat="false" ht="21.75" hidden="false" customHeight="true" outlineLevel="0" collapsed="false">
      <c r="A13" s="29" t="str">
        <f aca="false">IF(B13="","",ROW()-7)</f>
        <v/>
      </c>
      <c r="B13" s="30"/>
      <c r="C13" s="30"/>
      <c r="D13" s="32"/>
      <c r="E13" s="30"/>
      <c r="F13" s="31"/>
      <c r="G13" s="32"/>
      <c r="H13" s="33"/>
      <c r="I13" s="30"/>
      <c r="J13" s="30"/>
      <c r="K13" s="30"/>
      <c r="L13" s="30"/>
      <c r="M13" s="30"/>
      <c r="N13" s="33"/>
      <c r="O13" s="30"/>
      <c r="P13" s="33"/>
      <c r="Q13" s="30"/>
      <c r="R13" s="30"/>
    </row>
    <row r="14" customFormat="false" ht="21.75" hidden="false" customHeight="true" outlineLevel="0" collapsed="false">
      <c r="A14" s="29" t="str">
        <f aca="false">IF(B14="","",ROW()-7)</f>
        <v/>
      </c>
      <c r="B14" s="30"/>
      <c r="C14" s="30"/>
      <c r="D14" s="32"/>
      <c r="E14" s="30"/>
      <c r="F14" s="31"/>
      <c r="G14" s="32"/>
      <c r="H14" s="33"/>
      <c r="I14" s="30"/>
      <c r="J14" s="30"/>
      <c r="K14" s="30"/>
      <c r="L14" s="30"/>
      <c r="M14" s="30"/>
      <c r="N14" s="33"/>
      <c r="O14" s="30"/>
      <c r="P14" s="33"/>
      <c r="Q14" s="30"/>
      <c r="R14" s="30"/>
    </row>
    <row r="15" customFormat="false" ht="21.75" hidden="false" customHeight="true" outlineLevel="0" collapsed="false">
      <c r="A15" s="29" t="str">
        <f aca="false">IF(B15="","",ROW()-7)</f>
        <v/>
      </c>
      <c r="B15" s="30"/>
      <c r="C15" s="30"/>
      <c r="D15" s="32"/>
      <c r="E15" s="30"/>
      <c r="F15" s="31"/>
      <c r="G15" s="32"/>
      <c r="H15" s="33"/>
      <c r="I15" s="30"/>
      <c r="J15" s="30"/>
      <c r="K15" s="30"/>
      <c r="L15" s="30"/>
      <c r="M15" s="30"/>
      <c r="N15" s="33"/>
      <c r="O15" s="30"/>
      <c r="P15" s="33"/>
      <c r="Q15" s="30"/>
      <c r="R15" s="30"/>
    </row>
    <row r="16" customFormat="false" ht="21.75" hidden="false" customHeight="true" outlineLevel="0" collapsed="false">
      <c r="A16" s="29" t="str">
        <f aca="false">IF(B16="","",ROW()-7)</f>
        <v/>
      </c>
      <c r="B16" s="30"/>
      <c r="C16" s="30"/>
      <c r="D16" s="32"/>
      <c r="E16" s="30"/>
      <c r="F16" s="31"/>
      <c r="G16" s="32"/>
      <c r="H16" s="33"/>
      <c r="I16" s="30"/>
      <c r="J16" s="30"/>
      <c r="K16" s="30"/>
      <c r="L16" s="30"/>
      <c r="M16" s="30"/>
      <c r="N16" s="33"/>
      <c r="O16" s="30"/>
      <c r="P16" s="33"/>
      <c r="Q16" s="30"/>
      <c r="R16" s="30"/>
    </row>
    <row r="17" customFormat="false" ht="21.75" hidden="false" customHeight="true" outlineLevel="0" collapsed="false">
      <c r="A17" s="29" t="str">
        <f aca="false">IF(B17="","",ROW()-7)</f>
        <v/>
      </c>
      <c r="B17" s="30"/>
      <c r="C17" s="30"/>
      <c r="D17" s="32"/>
      <c r="E17" s="30"/>
      <c r="F17" s="31"/>
      <c r="G17" s="32"/>
      <c r="H17" s="33"/>
      <c r="I17" s="30"/>
      <c r="J17" s="30"/>
      <c r="K17" s="30"/>
      <c r="L17" s="30"/>
      <c r="M17" s="30"/>
      <c r="N17" s="33"/>
      <c r="O17" s="30"/>
      <c r="P17" s="33"/>
      <c r="Q17" s="30"/>
      <c r="R17" s="30"/>
    </row>
    <row r="18" customFormat="false" ht="21.75" hidden="false" customHeight="true" outlineLevel="0" collapsed="false">
      <c r="A18" s="29" t="str">
        <f aca="false">IF(B18="","",ROW()-7)</f>
        <v/>
      </c>
      <c r="B18" s="30"/>
      <c r="C18" s="30"/>
      <c r="D18" s="32"/>
      <c r="E18" s="30"/>
      <c r="F18" s="31"/>
      <c r="G18" s="32"/>
      <c r="H18" s="33"/>
      <c r="I18" s="30"/>
      <c r="J18" s="30"/>
      <c r="K18" s="30"/>
      <c r="L18" s="30"/>
      <c r="M18" s="30"/>
      <c r="N18" s="33"/>
      <c r="O18" s="30"/>
      <c r="P18" s="33"/>
      <c r="Q18" s="30"/>
      <c r="R18" s="30"/>
    </row>
    <row r="19" customFormat="false" ht="21.75" hidden="false" customHeight="true" outlineLevel="0" collapsed="false">
      <c r="A19" s="29" t="str">
        <f aca="false">IF(B19="","",ROW()-7)</f>
        <v/>
      </c>
      <c r="B19" s="30"/>
      <c r="C19" s="30"/>
      <c r="D19" s="32"/>
      <c r="E19" s="30"/>
      <c r="F19" s="31"/>
      <c r="G19" s="32"/>
      <c r="H19" s="33"/>
      <c r="I19" s="30"/>
      <c r="J19" s="30"/>
      <c r="K19" s="30"/>
      <c r="L19" s="30"/>
      <c r="M19" s="30"/>
      <c r="N19" s="33"/>
      <c r="O19" s="30"/>
      <c r="P19" s="33"/>
      <c r="Q19" s="30"/>
      <c r="R19" s="30"/>
    </row>
    <row r="20" customFormat="false" ht="21.75" hidden="false" customHeight="true" outlineLevel="0" collapsed="false">
      <c r="A20" s="29" t="str">
        <f aca="false">IF(B20="","",ROW()-7)</f>
        <v/>
      </c>
      <c r="B20" s="30"/>
      <c r="C20" s="30"/>
      <c r="D20" s="32"/>
      <c r="E20" s="30"/>
      <c r="F20" s="31"/>
      <c r="G20" s="32"/>
      <c r="H20" s="33"/>
      <c r="I20" s="30"/>
      <c r="J20" s="30"/>
      <c r="K20" s="30"/>
      <c r="L20" s="30"/>
      <c r="M20" s="30"/>
      <c r="N20" s="33"/>
      <c r="O20" s="30"/>
      <c r="P20" s="33"/>
      <c r="Q20" s="30"/>
      <c r="R20" s="30"/>
    </row>
    <row r="21" customFormat="false" ht="21.75" hidden="false" customHeight="true" outlineLevel="0" collapsed="false">
      <c r="A21" s="29" t="str">
        <f aca="false">IF(B21="","",ROW()-7)</f>
        <v/>
      </c>
      <c r="B21" s="30"/>
      <c r="C21" s="30"/>
      <c r="D21" s="32"/>
      <c r="E21" s="30"/>
      <c r="F21" s="31"/>
      <c r="G21" s="32"/>
      <c r="H21" s="33"/>
      <c r="I21" s="30"/>
      <c r="J21" s="30"/>
      <c r="K21" s="30"/>
      <c r="L21" s="30"/>
      <c r="M21" s="30"/>
      <c r="N21" s="33"/>
      <c r="O21" s="30"/>
      <c r="P21" s="33"/>
      <c r="Q21" s="30"/>
      <c r="R21" s="30"/>
    </row>
    <row r="22" customFormat="false" ht="21.75" hidden="false" customHeight="true" outlineLevel="0" collapsed="false">
      <c r="A22" s="29" t="str">
        <f aca="false">IF(B22="","",ROW()-7)</f>
        <v/>
      </c>
      <c r="B22" s="30"/>
      <c r="C22" s="30"/>
      <c r="D22" s="32"/>
      <c r="E22" s="30"/>
      <c r="F22" s="31"/>
      <c r="G22" s="32"/>
      <c r="H22" s="33"/>
      <c r="I22" s="30"/>
      <c r="J22" s="30"/>
      <c r="K22" s="30"/>
      <c r="L22" s="30"/>
      <c r="M22" s="30"/>
      <c r="N22" s="33"/>
      <c r="O22" s="30"/>
      <c r="P22" s="33"/>
      <c r="Q22" s="30"/>
      <c r="R22" s="30"/>
    </row>
    <row r="23" customFormat="false" ht="21.75" hidden="false" customHeight="true" outlineLevel="0" collapsed="false">
      <c r="A23" s="29" t="str">
        <f aca="false">IF(B23="","",ROW()-7)</f>
        <v/>
      </c>
      <c r="B23" s="30"/>
      <c r="C23" s="30"/>
      <c r="D23" s="32"/>
      <c r="E23" s="30"/>
      <c r="F23" s="31"/>
      <c r="G23" s="32"/>
      <c r="H23" s="33"/>
      <c r="I23" s="30"/>
      <c r="J23" s="30"/>
      <c r="K23" s="30"/>
      <c r="L23" s="30"/>
      <c r="M23" s="30"/>
      <c r="N23" s="33"/>
      <c r="O23" s="30"/>
      <c r="P23" s="33"/>
      <c r="Q23" s="30"/>
      <c r="R23" s="30"/>
    </row>
    <row r="24" customFormat="false" ht="21.75" hidden="false" customHeight="true" outlineLevel="0" collapsed="false">
      <c r="A24" s="29" t="str">
        <f aca="false">IF(B24="","",ROW()-7)</f>
        <v/>
      </c>
      <c r="B24" s="30"/>
      <c r="C24" s="30"/>
      <c r="D24" s="32"/>
      <c r="E24" s="30"/>
      <c r="F24" s="31"/>
      <c r="G24" s="32"/>
      <c r="H24" s="33"/>
      <c r="I24" s="30"/>
      <c r="J24" s="30"/>
      <c r="K24" s="30"/>
      <c r="L24" s="30"/>
      <c r="M24" s="30"/>
      <c r="N24" s="33"/>
      <c r="O24" s="30"/>
      <c r="P24" s="33"/>
      <c r="Q24" s="30"/>
      <c r="R24" s="30"/>
    </row>
    <row r="25" customFormat="false" ht="21.75" hidden="false" customHeight="true" outlineLevel="0" collapsed="false">
      <c r="A25" s="29" t="str">
        <f aca="false">IF(B25="","",ROW()-7)</f>
        <v/>
      </c>
      <c r="B25" s="30"/>
      <c r="C25" s="30"/>
      <c r="D25" s="32"/>
      <c r="E25" s="30"/>
      <c r="F25" s="31"/>
      <c r="G25" s="32"/>
      <c r="H25" s="33"/>
      <c r="I25" s="30"/>
      <c r="J25" s="30"/>
      <c r="K25" s="30"/>
      <c r="L25" s="30"/>
      <c r="M25" s="30"/>
      <c r="N25" s="33"/>
      <c r="O25" s="30"/>
      <c r="P25" s="33"/>
      <c r="Q25" s="30"/>
      <c r="R25" s="30"/>
    </row>
    <row r="26" customFormat="false" ht="21.75" hidden="false" customHeight="true" outlineLevel="0" collapsed="false">
      <c r="A26" s="29" t="str">
        <f aca="false">IF(B26="","",ROW()-7)</f>
        <v/>
      </c>
      <c r="B26" s="30"/>
      <c r="C26" s="30"/>
      <c r="D26" s="32"/>
      <c r="E26" s="30"/>
      <c r="F26" s="31"/>
      <c r="G26" s="32"/>
      <c r="H26" s="33"/>
      <c r="I26" s="30"/>
      <c r="J26" s="30"/>
      <c r="K26" s="30"/>
      <c r="L26" s="30"/>
      <c r="M26" s="30"/>
      <c r="N26" s="33"/>
      <c r="O26" s="30"/>
      <c r="P26" s="33"/>
      <c r="Q26" s="30"/>
      <c r="R26" s="30"/>
    </row>
    <row r="27" customFormat="false" ht="21.75" hidden="false" customHeight="true" outlineLevel="0" collapsed="false">
      <c r="A27" s="29" t="str">
        <f aca="false">IF(B27="","",ROW()-7)</f>
        <v/>
      </c>
      <c r="B27" s="30"/>
      <c r="C27" s="30"/>
      <c r="D27" s="32"/>
      <c r="E27" s="30"/>
      <c r="F27" s="31"/>
      <c r="G27" s="32"/>
      <c r="H27" s="33"/>
      <c r="I27" s="30"/>
      <c r="J27" s="30"/>
      <c r="K27" s="30"/>
      <c r="L27" s="30"/>
      <c r="M27" s="30"/>
      <c r="N27" s="33"/>
      <c r="O27" s="30"/>
      <c r="P27" s="33"/>
      <c r="Q27" s="30"/>
      <c r="R27" s="30"/>
    </row>
    <row r="28" customFormat="false" ht="21.75" hidden="false" customHeight="true" outlineLevel="0" collapsed="false">
      <c r="A28" s="29" t="str">
        <f aca="false">IF(B28="","",ROW()-7)</f>
        <v/>
      </c>
      <c r="B28" s="30"/>
      <c r="C28" s="30"/>
      <c r="D28" s="32"/>
      <c r="E28" s="30"/>
      <c r="F28" s="31"/>
      <c r="G28" s="32"/>
      <c r="H28" s="33"/>
      <c r="I28" s="30"/>
      <c r="J28" s="30"/>
      <c r="K28" s="30"/>
      <c r="L28" s="30"/>
      <c r="M28" s="30"/>
      <c r="N28" s="33"/>
      <c r="O28" s="30"/>
      <c r="P28" s="33"/>
      <c r="Q28" s="30"/>
      <c r="R28" s="30"/>
    </row>
    <row r="29" customFormat="false" ht="21.75" hidden="false" customHeight="true" outlineLevel="0" collapsed="false">
      <c r="A29" s="29" t="str">
        <f aca="false">IF(B29="","",ROW()-7)</f>
        <v/>
      </c>
      <c r="B29" s="30"/>
      <c r="C29" s="30"/>
      <c r="D29" s="32"/>
      <c r="E29" s="30"/>
      <c r="F29" s="31"/>
      <c r="G29" s="32"/>
      <c r="H29" s="33"/>
      <c r="I29" s="30"/>
      <c r="J29" s="30"/>
      <c r="K29" s="30"/>
      <c r="L29" s="30"/>
      <c r="M29" s="30"/>
      <c r="N29" s="33"/>
      <c r="O29" s="30"/>
      <c r="P29" s="33"/>
      <c r="Q29" s="30"/>
      <c r="R29" s="30"/>
    </row>
    <row r="30" customFormat="false" ht="21.75" hidden="false" customHeight="true" outlineLevel="0" collapsed="false">
      <c r="A30" s="29" t="str">
        <f aca="false">IF(B30="","",ROW()-7)</f>
        <v/>
      </c>
      <c r="B30" s="30"/>
      <c r="C30" s="30"/>
      <c r="D30" s="32"/>
      <c r="E30" s="30"/>
      <c r="F30" s="31"/>
      <c r="G30" s="32"/>
      <c r="H30" s="33"/>
      <c r="I30" s="30"/>
      <c r="J30" s="30"/>
      <c r="K30" s="30"/>
      <c r="L30" s="30"/>
      <c r="M30" s="30"/>
      <c r="N30" s="33"/>
      <c r="O30" s="30"/>
      <c r="P30" s="33"/>
      <c r="Q30" s="30"/>
      <c r="R30" s="30"/>
    </row>
    <row r="31" customFormat="false" ht="21.75" hidden="false" customHeight="true" outlineLevel="0" collapsed="false">
      <c r="A31" s="29" t="str">
        <f aca="false">IF(B31="","",ROW()-7)</f>
        <v/>
      </c>
      <c r="B31" s="30"/>
      <c r="C31" s="30"/>
      <c r="D31" s="32"/>
      <c r="E31" s="30"/>
      <c r="F31" s="31"/>
      <c r="G31" s="32"/>
      <c r="H31" s="33"/>
      <c r="I31" s="30"/>
      <c r="J31" s="30"/>
      <c r="K31" s="30"/>
      <c r="L31" s="30"/>
      <c r="M31" s="30"/>
      <c r="N31" s="33"/>
      <c r="O31" s="30"/>
      <c r="P31" s="33"/>
      <c r="Q31" s="30"/>
      <c r="R31" s="30"/>
    </row>
    <row r="32" customFormat="false" ht="21.75" hidden="false" customHeight="true" outlineLevel="0" collapsed="false">
      <c r="A32" s="29" t="str">
        <f aca="false">IF(B32="","",ROW()-7)</f>
        <v/>
      </c>
      <c r="B32" s="30"/>
      <c r="C32" s="30"/>
      <c r="D32" s="32"/>
      <c r="E32" s="30"/>
      <c r="F32" s="31"/>
      <c r="G32" s="32"/>
      <c r="H32" s="33"/>
      <c r="I32" s="30"/>
      <c r="J32" s="30"/>
      <c r="K32" s="30"/>
      <c r="L32" s="30"/>
      <c r="M32" s="30"/>
      <c r="N32" s="33"/>
      <c r="O32" s="30"/>
      <c r="P32" s="33"/>
      <c r="Q32" s="30"/>
      <c r="R32" s="30"/>
    </row>
    <row r="33" customFormat="false" ht="21.75" hidden="false" customHeight="true" outlineLevel="0" collapsed="false">
      <c r="A33" s="29" t="str">
        <f aca="false">IF(B33="","",ROW()-7)</f>
        <v/>
      </c>
      <c r="B33" s="30"/>
      <c r="C33" s="30"/>
      <c r="D33" s="32"/>
      <c r="E33" s="30"/>
      <c r="F33" s="31"/>
      <c r="G33" s="32"/>
      <c r="H33" s="33"/>
      <c r="I33" s="30"/>
      <c r="J33" s="30"/>
      <c r="K33" s="30"/>
      <c r="L33" s="30"/>
      <c r="M33" s="30"/>
      <c r="N33" s="33"/>
      <c r="O33" s="30"/>
      <c r="P33" s="33"/>
      <c r="Q33" s="30"/>
      <c r="R33" s="30"/>
    </row>
    <row r="34" customFormat="false" ht="21.75" hidden="false" customHeight="true" outlineLevel="0" collapsed="false">
      <c r="A34" s="29" t="str">
        <f aca="false">IF(B34="","",ROW()-7)</f>
        <v/>
      </c>
      <c r="B34" s="30"/>
      <c r="C34" s="30"/>
      <c r="D34" s="32"/>
      <c r="E34" s="30"/>
      <c r="F34" s="31"/>
      <c r="G34" s="32"/>
      <c r="H34" s="33"/>
      <c r="I34" s="30"/>
      <c r="J34" s="30"/>
      <c r="K34" s="30"/>
      <c r="L34" s="30"/>
      <c r="M34" s="30"/>
      <c r="N34" s="33"/>
      <c r="O34" s="30"/>
      <c r="P34" s="33"/>
      <c r="Q34" s="30"/>
      <c r="R34" s="30"/>
    </row>
    <row r="35" customFormat="false" ht="21.75" hidden="false" customHeight="true" outlineLevel="0" collapsed="false">
      <c r="A35" s="29" t="str">
        <f aca="false">IF(B35="","",ROW()-7)</f>
        <v/>
      </c>
      <c r="B35" s="30"/>
      <c r="C35" s="30"/>
      <c r="D35" s="32"/>
      <c r="E35" s="30"/>
      <c r="F35" s="31"/>
      <c r="G35" s="32"/>
      <c r="H35" s="33"/>
      <c r="I35" s="30"/>
      <c r="J35" s="30"/>
      <c r="K35" s="30"/>
      <c r="L35" s="30"/>
      <c r="M35" s="30"/>
      <c r="N35" s="33"/>
      <c r="O35" s="30"/>
      <c r="P35" s="33"/>
      <c r="Q35" s="30"/>
      <c r="R35" s="30"/>
    </row>
    <row r="36" customFormat="false" ht="21.75" hidden="false" customHeight="true" outlineLevel="0" collapsed="false">
      <c r="A36" s="29" t="str">
        <f aca="false">IF(B36="","",ROW()-7)</f>
        <v/>
      </c>
      <c r="B36" s="30"/>
      <c r="C36" s="30"/>
      <c r="D36" s="32"/>
      <c r="E36" s="30"/>
      <c r="F36" s="31"/>
      <c r="G36" s="32"/>
      <c r="H36" s="33"/>
      <c r="I36" s="30"/>
      <c r="J36" s="30"/>
      <c r="K36" s="30"/>
      <c r="L36" s="30"/>
      <c r="M36" s="30"/>
      <c r="N36" s="33"/>
      <c r="O36" s="30"/>
      <c r="P36" s="33"/>
      <c r="Q36" s="30"/>
      <c r="R36" s="30"/>
    </row>
    <row r="37" customFormat="false" ht="21.75" hidden="false" customHeight="true" outlineLevel="0" collapsed="false">
      <c r="A37" s="29" t="str">
        <f aca="false">IF(B37="","",ROW()-7)</f>
        <v/>
      </c>
      <c r="B37" s="30"/>
      <c r="C37" s="30"/>
      <c r="D37" s="32"/>
      <c r="E37" s="30"/>
      <c r="F37" s="31"/>
      <c r="G37" s="32"/>
      <c r="H37" s="33"/>
      <c r="I37" s="30"/>
      <c r="J37" s="30"/>
      <c r="K37" s="30"/>
      <c r="L37" s="30"/>
      <c r="M37" s="30"/>
      <c r="N37" s="33"/>
      <c r="O37" s="30"/>
      <c r="P37" s="33"/>
      <c r="Q37" s="30"/>
      <c r="R37" s="30"/>
    </row>
    <row r="38" customFormat="false" ht="21.75" hidden="false" customHeight="true" outlineLevel="0" collapsed="false">
      <c r="A38" s="29" t="str">
        <f aca="false">IF(B38="","",ROW()-7)</f>
        <v/>
      </c>
      <c r="B38" s="30"/>
      <c r="C38" s="30"/>
      <c r="D38" s="32"/>
      <c r="E38" s="30"/>
      <c r="F38" s="31"/>
      <c r="G38" s="32"/>
      <c r="H38" s="33"/>
      <c r="I38" s="30"/>
      <c r="J38" s="30"/>
      <c r="K38" s="30"/>
      <c r="L38" s="30"/>
      <c r="M38" s="30"/>
      <c r="N38" s="33"/>
      <c r="O38" s="30"/>
      <c r="P38" s="33"/>
      <c r="Q38" s="30"/>
      <c r="R38" s="30"/>
    </row>
    <row r="39" customFormat="false" ht="21.75" hidden="false" customHeight="true" outlineLevel="0" collapsed="false">
      <c r="A39" s="29" t="str">
        <f aca="false">IF(B39="","",ROW()-7)</f>
        <v/>
      </c>
      <c r="B39" s="30"/>
      <c r="C39" s="30"/>
      <c r="D39" s="32"/>
      <c r="E39" s="30"/>
      <c r="F39" s="31"/>
      <c r="G39" s="32"/>
      <c r="H39" s="33"/>
      <c r="I39" s="30"/>
      <c r="J39" s="30"/>
      <c r="K39" s="30"/>
      <c r="L39" s="30"/>
      <c r="M39" s="30"/>
      <c r="N39" s="33"/>
      <c r="O39" s="30"/>
      <c r="P39" s="33"/>
      <c r="Q39" s="30"/>
      <c r="R39" s="30"/>
    </row>
    <row r="40" customFormat="false" ht="21.75" hidden="false" customHeight="true" outlineLevel="0" collapsed="false">
      <c r="A40" s="29" t="str">
        <f aca="false">IF(B40="","",ROW()-7)</f>
        <v/>
      </c>
      <c r="B40" s="30"/>
      <c r="C40" s="30"/>
      <c r="D40" s="32"/>
      <c r="E40" s="30"/>
      <c r="F40" s="31"/>
      <c r="G40" s="32"/>
      <c r="H40" s="33"/>
      <c r="I40" s="30"/>
      <c r="J40" s="30"/>
      <c r="K40" s="30"/>
      <c r="L40" s="30"/>
      <c r="M40" s="30"/>
      <c r="N40" s="33"/>
      <c r="O40" s="30"/>
      <c r="P40" s="33"/>
      <c r="Q40" s="30"/>
      <c r="R40" s="30"/>
    </row>
    <row r="41" customFormat="false" ht="21.75" hidden="false" customHeight="true" outlineLevel="0" collapsed="false">
      <c r="A41" s="29" t="str">
        <f aca="false">IF(B41="","",ROW()-7)</f>
        <v/>
      </c>
      <c r="B41" s="30"/>
      <c r="C41" s="30"/>
      <c r="D41" s="32"/>
      <c r="E41" s="30"/>
      <c r="F41" s="31"/>
      <c r="G41" s="32"/>
      <c r="H41" s="33"/>
      <c r="I41" s="30"/>
      <c r="J41" s="30"/>
      <c r="K41" s="30"/>
      <c r="L41" s="30"/>
      <c r="M41" s="30"/>
      <c r="N41" s="33"/>
      <c r="O41" s="30"/>
      <c r="P41" s="33"/>
      <c r="Q41" s="30"/>
      <c r="R41" s="30"/>
    </row>
    <row r="42" customFormat="false" ht="21.75" hidden="false" customHeight="true" outlineLevel="0" collapsed="false">
      <c r="A42" s="29" t="str">
        <f aca="false">IF(B42="","",ROW()-7)</f>
        <v/>
      </c>
      <c r="B42" s="30"/>
      <c r="C42" s="30"/>
      <c r="D42" s="32"/>
      <c r="E42" s="30"/>
      <c r="F42" s="31"/>
      <c r="G42" s="32"/>
      <c r="H42" s="33"/>
      <c r="I42" s="30"/>
      <c r="J42" s="30"/>
      <c r="K42" s="30"/>
      <c r="L42" s="30"/>
      <c r="M42" s="30"/>
      <c r="N42" s="33"/>
      <c r="O42" s="30"/>
      <c r="P42" s="33"/>
      <c r="Q42" s="30"/>
      <c r="R42" s="30"/>
    </row>
    <row r="43" customFormat="false" ht="21.75" hidden="false" customHeight="true" outlineLevel="0" collapsed="false">
      <c r="A43" s="29" t="str">
        <f aca="false">IF(B43="","",ROW()-7)</f>
        <v/>
      </c>
      <c r="B43" s="30"/>
      <c r="C43" s="30"/>
      <c r="D43" s="32"/>
      <c r="E43" s="30"/>
      <c r="F43" s="31"/>
      <c r="G43" s="32"/>
      <c r="H43" s="33"/>
      <c r="I43" s="30"/>
      <c r="J43" s="30"/>
      <c r="K43" s="30"/>
      <c r="L43" s="30"/>
      <c r="M43" s="30"/>
      <c r="N43" s="33"/>
      <c r="O43" s="30"/>
      <c r="P43" s="33"/>
      <c r="Q43" s="30"/>
      <c r="R43" s="30"/>
    </row>
    <row r="44" customFormat="false" ht="21.75" hidden="false" customHeight="true" outlineLevel="0" collapsed="false">
      <c r="A44" s="29" t="str">
        <f aca="false">IF(B44="","",ROW()-7)</f>
        <v/>
      </c>
      <c r="B44" s="30"/>
      <c r="C44" s="30"/>
      <c r="D44" s="32"/>
      <c r="E44" s="30"/>
      <c r="F44" s="31"/>
      <c r="G44" s="32"/>
      <c r="H44" s="33"/>
      <c r="I44" s="30"/>
      <c r="J44" s="30"/>
      <c r="K44" s="30"/>
      <c r="L44" s="30"/>
      <c r="M44" s="30"/>
      <c r="N44" s="33"/>
      <c r="O44" s="30"/>
      <c r="P44" s="33"/>
      <c r="Q44" s="30"/>
      <c r="R44" s="30"/>
    </row>
    <row r="45" customFormat="false" ht="21.75" hidden="false" customHeight="true" outlineLevel="0" collapsed="false">
      <c r="A45" s="29" t="str">
        <f aca="false">IF(B45="","",ROW()-7)</f>
        <v/>
      </c>
      <c r="B45" s="30"/>
      <c r="C45" s="30"/>
      <c r="D45" s="32"/>
      <c r="E45" s="30"/>
      <c r="F45" s="31"/>
      <c r="G45" s="32"/>
      <c r="H45" s="33"/>
      <c r="I45" s="30"/>
      <c r="J45" s="30"/>
      <c r="K45" s="30"/>
      <c r="L45" s="30"/>
      <c r="M45" s="30"/>
      <c r="N45" s="33"/>
      <c r="O45" s="30"/>
      <c r="P45" s="33"/>
      <c r="Q45" s="30"/>
      <c r="R45" s="30"/>
    </row>
    <row r="46" customFormat="false" ht="21.75" hidden="false" customHeight="true" outlineLevel="0" collapsed="false">
      <c r="A46" s="29" t="str">
        <f aca="false">IF(B46="","",ROW()-7)</f>
        <v/>
      </c>
      <c r="B46" s="30"/>
      <c r="C46" s="30"/>
      <c r="D46" s="32"/>
      <c r="E46" s="30"/>
      <c r="F46" s="31"/>
      <c r="G46" s="32"/>
      <c r="H46" s="33"/>
      <c r="I46" s="30"/>
      <c r="J46" s="30"/>
      <c r="K46" s="30"/>
      <c r="L46" s="30"/>
      <c r="M46" s="30"/>
      <c r="N46" s="33"/>
      <c r="O46" s="30"/>
      <c r="P46" s="33"/>
      <c r="Q46" s="30"/>
      <c r="R46" s="30"/>
    </row>
    <row r="47" customFormat="false" ht="21.75" hidden="false" customHeight="true" outlineLevel="0" collapsed="false">
      <c r="A47" s="29" t="str">
        <f aca="false">IF(B47="","",ROW()-7)</f>
        <v/>
      </c>
      <c r="B47" s="30"/>
      <c r="C47" s="30"/>
      <c r="D47" s="32"/>
      <c r="E47" s="30"/>
      <c r="F47" s="31"/>
      <c r="G47" s="32"/>
      <c r="H47" s="33"/>
      <c r="I47" s="30"/>
      <c r="J47" s="30"/>
      <c r="K47" s="30"/>
      <c r="L47" s="30"/>
      <c r="M47" s="30"/>
      <c r="N47" s="33"/>
      <c r="O47" s="30"/>
      <c r="P47" s="33"/>
      <c r="Q47" s="30"/>
      <c r="R47" s="30"/>
    </row>
    <row r="48" customFormat="false" ht="21.75" hidden="false" customHeight="true" outlineLevel="0" collapsed="false">
      <c r="A48" s="29" t="str">
        <f aca="false">IF(B48="","",ROW()-7)</f>
        <v/>
      </c>
      <c r="B48" s="30"/>
      <c r="C48" s="30"/>
      <c r="D48" s="32"/>
      <c r="E48" s="30"/>
      <c r="F48" s="31"/>
      <c r="G48" s="32"/>
      <c r="H48" s="33"/>
      <c r="I48" s="30"/>
      <c r="J48" s="30"/>
      <c r="K48" s="30"/>
      <c r="L48" s="30"/>
      <c r="M48" s="30"/>
      <c r="N48" s="33"/>
      <c r="O48" s="30"/>
      <c r="P48" s="33"/>
      <c r="Q48" s="30"/>
      <c r="R48" s="30"/>
    </row>
    <row r="49" customFormat="false" ht="21.75" hidden="false" customHeight="true" outlineLevel="0" collapsed="false">
      <c r="A49" s="29" t="str">
        <f aca="false">IF(B49="","",ROW()-7)</f>
        <v/>
      </c>
      <c r="B49" s="30"/>
      <c r="C49" s="30"/>
      <c r="D49" s="32"/>
      <c r="E49" s="30"/>
      <c r="F49" s="31"/>
      <c r="G49" s="32"/>
      <c r="H49" s="33"/>
      <c r="I49" s="30"/>
      <c r="J49" s="30"/>
      <c r="K49" s="30"/>
      <c r="L49" s="30"/>
      <c r="M49" s="30"/>
      <c r="N49" s="33"/>
      <c r="O49" s="30"/>
      <c r="P49" s="33"/>
      <c r="Q49" s="30"/>
      <c r="R49" s="30"/>
    </row>
    <row r="50" customFormat="false" ht="21.75" hidden="false" customHeight="true" outlineLevel="0" collapsed="false">
      <c r="A50" s="29" t="str">
        <f aca="false">IF(B50="","",ROW()-7)</f>
        <v/>
      </c>
      <c r="B50" s="30"/>
      <c r="C50" s="30"/>
      <c r="D50" s="32"/>
      <c r="E50" s="30"/>
      <c r="F50" s="31"/>
      <c r="G50" s="32"/>
      <c r="H50" s="33"/>
      <c r="I50" s="30"/>
      <c r="J50" s="30"/>
      <c r="K50" s="30"/>
      <c r="L50" s="30"/>
      <c r="M50" s="30"/>
      <c r="N50" s="33"/>
      <c r="O50" s="30"/>
      <c r="P50" s="33"/>
      <c r="Q50" s="30"/>
      <c r="R50" s="30"/>
    </row>
    <row r="51" customFormat="false" ht="21.75" hidden="false" customHeight="true" outlineLevel="0" collapsed="false">
      <c r="A51" s="29" t="str">
        <f aca="false">IF(B51="","",ROW()-7)</f>
        <v/>
      </c>
      <c r="B51" s="30"/>
      <c r="C51" s="30"/>
      <c r="D51" s="32"/>
      <c r="E51" s="30"/>
      <c r="F51" s="31"/>
      <c r="G51" s="32"/>
      <c r="H51" s="33"/>
      <c r="I51" s="30"/>
      <c r="J51" s="30"/>
      <c r="K51" s="30"/>
      <c r="L51" s="30"/>
      <c r="M51" s="30"/>
      <c r="N51" s="33"/>
      <c r="O51" s="30"/>
      <c r="P51" s="33"/>
      <c r="Q51" s="30"/>
      <c r="R51" s="30"/>
    </row>
    <row r="52" customFormat="false" ht="21.75" hidden="false" customHeight="true" outlineLevel="0" collapsed="false">
      <c r="A52" s="29" t="str">
        <f aca="false">IF(B52="","",ROW()-7)</f>
        <v/>
      </c>
      <c r="B52" s="30"/>
      <c r="C52" s="30"/>
      <c r="D52" s="32"/>
      <c r="E52" s="30"/>
      <c r="F52" s="31"/>
      <c r="G52" s="32"/>
      <c r="H52" s="33"/>
      <c r="I52" s="30"/>
      <c r="J52" s="30"/>
      <c r="K52" s="30"/>
      <c r="L52" s="30"/>
      <c r="M52" s="30"/>
      <c r="N52" s="33"/>
      <c r="O52" s="30"/>
      <c r="P52" s="33"/>
      <c r="Q52" s="30"/>
      <c r="R52" s="30"/>
    </row>
    <row r="53" customFormat="false" ht="21.75" hidden="false" customHeight="true" outlineLevel="0" collapsed="false">
      <c r="A53" s="29" t="str">
        <f aca="false">IF(B53="","",ROW()-7)</f>
        <v/>
      </c>
      <c r="B53" s="30"/>
      <c r="C53" s="30"/>
      <c r="D53" s="32"/>
      <c r="E53" s="30"/>
      <c r="F53" s="31"/>
      <c r="G53" s="32"/>
      <c r="H53" s="33"/>
      <c r="I53" s="30"/>
      <c r="J53" s="30"/>
      <c r="K53" s="30"/>
      <c r="L53" s="30"/>
      <c r="M53" s="30"/>
      <c r="N53" s="33"/>
      <c r="O53" s="30"/>
      <c r="P53" s="33"/>
      <c r="Q53" s="30"/>
      <c r="R53" s="30"/>
    </row>
    <row r="54" customFormat="false" ht="21.75" hidden="false" customHeight="true" outlineLevel="0" collapsed="false">
      <c r="A54" s="29" t="str">
        <f aca="false">IF(B54="","",ROW()-7)</f>
        <v/>
      </c>
      <c r="B54" s="30"/>
      <c r="C54" s="30"/>
      <c r="D54" s="32"/>
      <c r="E54" s="30"/>
      <c r="F54" s="31"/>
      <c r="G54" s="32"/>
      <c r="H54" s="33"/>
      <c r="I54" s="30"/>
      <c r="J54" s="30"/>
      <c r="K54" s="30"/>
      <c r="L54" s="30"/>
      <c r="M54" s="30"/>
      <c r="N54" s="33"/>
      <c r="O54" s="30"/>
      <c r="P54" s="33"/>
      <c r="Q54" s="30"/>
      <c r="R54" s="30"/>
    </row>
    <row r="55" customFormat="false" ht="21.75" hidden="false" customHeight="true" outlineLevel="0" collapsed="false">
      <c r="A55" s="29" t="str">
        <f aca="false">IF(B55="","",ROW()-7)</f>
        <v/>
      </c>
      <c r="B55" s="30"/>
      <c r="C55" s="30"/>
      <c r="D55" s="32"/>
      <c r="E55" s="30"/>
      <c r="F55" s="31"/>
      <c r="G55" s="32"/>
      <c r="H55" s="33"/>
      <c r="I55" s="30"/>
      <c r="J55" s="30"/>
      <c r="K55" s="30"/>
      <c r="L55" s="30"/>
      <c r="M55" s="30"/>
      <c r="N55" s="33"/>
      <c r="O55" s="30"/>
      <c r="P55" s="33"/>
      <c r="Q55" s="30"/>
      <c r="R55" s="30"/>
    </row>
    <row r="56" customFormat="false" ht="21.75" hidden="false" customHeight="true" outlineLevel="0" collapsed="false">
      <c r="A56" s="29" t="str">
        <f aca="false">IF(B56="","",ROW()-7)</f>
        <v/>
      </c>
      <c r="B56" s="30"/>
      <c r="C56" s="30"/>
      <c r="D56" s="32"/>
      <c r="E56" s="30"/>
      <c r="F56" s="31"/>
      <c r="G56" s="32"/>
      <c r="H56" s="33"/>
      <c r="I56" s="30"/>
      <c r="J56" s="30"/>
      <c r="K56" s="30"/>
      <c r="L56" s="30"/>
      <c r="M56" s="30"/>
      <c r="N56" s="33"/>
      <c r="O56" s="30"/>
      <c r="P56" s="33"/>
      <c r="Q56" s="30"/>
      <c r="R56" s="30"/>
    </row>
    <row r="57" customFormat="false" ht="21.75" hidden="false" customHeight="true" outlineLevel="0" collapsed="false">
      <c r="A57" s="29" t="str">
        <f aca="false">IF(B57="","",ROW()-7)</f>
        <v/>
      </c>
      <c r="B57" s="30"/>
      <c r="C57" s="30"/>
      <c r="D57" s="32"/>
      <c r="E57" s="30"/>
      <c r="F57" s="31"/>
      <c r="G57" s="32"/>
      <c r="H57" s="33"/>
      <c r="I57" s="30"/>
      <c r="J57" s="30"/>
      <c r="K57" s="30"/>
      <c r="L57" s="30"/>
      <c r="M57" s="30"/>
      <c r="N57" s="33"/>
      <c r="O57" s="30"/>
      <c r="P57" s="33"/>
      <c r="Q57" s="30"/>
      <c r="R57" s="30"/>
    </row>
  </sheetData>
  <mergeCells count="3">
    <mergeCell ref="A1:R1"/>
    <mergeCell ref="A2:R2"/>
    <mergeCell ref="D3:G3"/>
  </mergeCells>
  <dataValidations count="3">
    <dataValidation allowBlank="true" error="Seleccione um valor da lista." errorStyle="stop" errorTitle="Valor inválido" operator="between" showDropDown="false" showErrorMessage="true" showInputMessage="false" sqref="B8:B57" type="list">
      <formula1>Listas!$A$2:$A$3</formula1>
      <formula2>0</formula2>
    </dataValidation>
    <dataValidation allowBlank="true" error="Seleccione um valor da lista." errorStyle="stop" errorTitle="Valor inválido" operator="between" showDropDown="false" showErrorMessage="true" showInputMessage="false" sqref="J8:J57" type="list">
      <formula1>Listas!$B$2:$B$3</formula1>
      <formula2>0</formula2>
    </dataValidation>
    <dataValidation allowBlank="true" error="Seleccione um valor da lista." errorStyle="stop" errorTitle="Valor inválido" operator="between" showDropDown="false" showErrorMessage="true" showInputMessage="false" sqref="M8:M57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34" t="s">
        <v>93</v>
      </c>
      <c r="B1" s="34"/>
      <c r="C1" s="34"/>
      <c r="D1" s="34"/>
      <c r="E1" s="34"/>
    </row>
    <row r="3" customFormat="false" ht="15" hidden="false" customHeight="false" outlineLevel="0" collapsed="false">
      <c r="A3" s="22" t="s">
        <v>94</v>
      </c>
      <c r="B3" s="22" t="s">
        <v>95</v>
      </c>
      <c r="C3" s="22" t="s">
        <v>96</v>
      </c>
      <c r="D3" s="22" t="s">
        <v>97</v>
      </c>
      <c r="E3" s="22" t="s">
        <v>98</v>
      </c>
    </row>
    <row r="4" customFormat="false" ht="33.75" hidden="false" customHeight="true" outlineLevel="0" collapsed="false">
      <c r="A4" s="30" t="s">
        <v>99</v>
      </c>
      <c r="B4" s="30" t="s">
        <v>28</v>
      </c>
      <c r="C4" s="35" t="s">
        <v>100</v>
      </c>
      <c r="D4" s="30" t="s">
        <v>101</v>
      </c>
      <c r="E4" s="30" t="s">
        <v>102</v>
      </c>
    </row>
    <row r="5" customFormat="false" ht="33.75" hidden="false" customHeight="true" outlineLevel="0" collapsed="false">
      <c r="A5" s="30" t="s">
        <v>99</v>
      </c>
      <c r="B5" s="30" t="s">
        <v>29</v>
      </c>
      <c r="C5" s="35" t="s">
        <v>100</v>
      </c>
      <c r="D5" s="30" t="s">
        <v>103</v>
      </c>
      <c r="E5" s="30" t="s">
        <v>104</v>
      </c>
    </row>
    <row r="6" customFormat="false" ht="33.75" hidden="false" customHeight="true" outlineLevel="0" collapsed="false">
      <c r="A6" s="30" t="s">
        <v>99</v>
      </c>
      <c r="B6" s="30" t="s">
        <v>30</v>
      </c>
      <c r="C6" s="35" t="s">
        <v>100</v>
      </c>
      <c r="D6" s="30" t="s">
        <v>105</v>
      </c>
      <c r="E6" s="30" t="s">
        <v>106</v>
      </c>
    </row>
    <row r="7" customFormat="false" ht="33.75" hidden="false" customHeight="true" outlineLevel="0" collapsed="false">
      <c r="A7" s="30" t="s">
        <v>99</v>
      </c>
      <c r="B7" s="30" t="s">
        <v>31</v>
      </c>
      <c r="C7" s="35" t="s">
        <v>100</v>
      </c>
      <c r="D7" s="30" t="s">
        <v>107</v>
      </c>
      <c r="E7" s="30" t="s">
        <v>108</v>
      </c>
    </row>
    <row r="8" customFormat="false" ht="33.75" hidden="false" customHeight="true" outlineLevel="0" collapsed="false">
      <c r="A8" s="30" t="s">
        <v>99</v>
      </c>
      <c r="B8" s="30" t="s">
        <v>32</v>
      </c>
      <c r="C8" s="35" t="s">
        <v>100</v>
      </c>
      <c r="D8" s="30" t="s">
        <v>109</v>
      </c>
      <c r="E8" s="30" t="s">
        <v>110</v>
      </c>
    </row>
    <row r="9" customFormat="false" ht="33.75" hidden="false" customHeight="true" outlineLevel="0" collapsed="false">
      <c r="A9" s="30" t="s">
        <v>111</v>
      </c>
      <c r="B9" s="30" t="s">
        <v>73</v>
      </c>
      <c r="C9" s="35" t="s">
        <v>100</v>
      </c>
      <c r="D9" s="30" t="s">
        <v>112</v>
      </c>
      <c r="E9" s="30" t="s">
        <v>113</v>
      </c>
    </row>
    <row r="10" customFormat="false" ht="33.75" hidden="false" customHeight="true" outlineLevel="0" collapsed="false">
      <c r="A10" s="30" t="s">
        <v>111</v>
      </c>
      <c r="B10" s="30" t="s">
        <v>74</v>
      </c>
      <c r="C10" s="35" t="s">
        <v>100</v>
      </c>
      <c r="D10" s="30" t="s">
        <v>114</v>
      </c>
      <c r="E10" s="30" t="s">
        <v>115</v>
      </c>
    </row>
    <row r="11" customFormat="false" ht="33.75" hidden="false" customHeight="true" outlineLevel="0" collapsed="false">
      <c r="A11" s="30" t="s">
        <v>111</v>
      </c>
      <c r="B11" s="30" t="s">
        <v>75</v>
      </c>
      <c r="C11" s="35" t="s">
        <v>100</v>
      </c>
      <c r="D11" s="30" t="s">
        <v>116</v>
      </c>
      <c r="E11" s="30" t="s">
        <v>117</v>
      </c>
    </row>
    <row r="12" customFormat="false" ht="33.75" hidden="false" customHeight="true" outlineLevel="0" collapsed="false">
      <c r="A12" s="30" t="s">
        <v>111</v>
      </c>
      <c r="B12" s="30" t="s">
        <v>76</v>
      </c>
      <c r="C12" s="35" t="s">
        <v>100</v>
      </c>
      <c r="D12" s="30" t="s">
        <v>118</v>
      </c>
      <c r="E12" s="30" t="s">
        <v>104</v>
      </c>
    </row>
    <row r="13" customFormat="false" ht="33.75" hidden="false" customHeight="true" outlineLevel="0" collapsed="false">
      <c r="A13" s="30" t="s">
        <v>111</v>
      </c>
      <c r="B13" s="30" t="s">
        <v>31</v>
      </c>
      <c r="C13" s="35" t="s">
        <v>100</v>
      </c>
      <c r="D13" s="30" t="s">
        <v>119</v>
      </c>
      <c r="E13" s="30" t="s">
        <v>120</v>
      </c>
    </row>
    <row r="14" customFormat="false" ht="33.75" hidden="false" customHeight="true" outlineLevel="0" collapsed="false">
      <c r="A14" s="30" t="s">
        <v>111</v>
      </c>
      <c r="B14" s="30" t="s">
        <v>77</v>
      </c>
      <c r="C14" s="35" t="s">
        <v>100</v>
      </c>
      <c r="D14" s="30" t="s">
        <v>121</v>
      </c>
      <c r="E14" s="30" t="s">
        <v>122</v>
      </c>
    </row>
    <row r="15" customFormat="false" ht="33.75" hidden="false" customHeight="true" outlineLevel="0" collapsed="false">
      <c r="A15" s="30" t="s">
        <v>123</v>
      </c>
      <c r="B15" s="30" t="s">
        <v>33</v>
      </c>
      <c r="C15" s="36" t="s">
        <v>124</v>
      </c>
      <c r="D15" s="30" t="s">
        <v>125</v>
      </c>
      <c r="E15" s="30" t="s">
        <v>126</v>
      </c>
    </row>
    <row r="16" customFormat="false" ht="33.75" hidden="false" customHeight="true" outlineLevel="0" collapsed="false">
      <c r="A16" s="30" t="s">
        <v>123</v>
      </c>
      <c r="B16" s="30" t="s">
        <v>34</v>
      </c>
      <c r="C16" s="36" t="s">
        <v>124</v>
      </c>
      <c r="D16" s="30" t="s">
        <v>127</v>
      </c>
      <c r="E16" s="30" t="s">
        <v>128</v>
      </c>
    </row>
    <row r="17" customFormat="false" ht="33.75" hidden="false" customHeight="true" outlineLevel="0" collapsed="false">
      <c r="A17" s="30" t="s">
        <v>123</v>
      </c>
      <c r="B17" s="30" t="s">
        <v>35</v>
      </c>
      <c r="C17" s="36" t="s">
        <v>124</v>
      </c>
      <c r="D17" s="30" t="s">
        <v>129</v>
      </c>
      <c r="E17" s="30" t="s">
        <v>130</v>
      </c>
    </row>
    <row r="18" customFormat="false" ht="33.75" hidden="false" customHeight="true" outlineLevel="0" collapsed="false">
      <c r="A18" s="30" t="s">
        <v>123</v>
      </c>
      <c r="B18" s="30" t="s">
        <v>36</v>
      </c>
      <c r="C18" s="36" t="s">
        <v>124</v>
      </c>
      <c r="D18" s="30" t="s">
        <v>131</v>
      </c>
      <c r="E18" s="30" t="s">
        <v>132</v>
      </c>
    </row>
    <row r="19" customFormat="false" ht="33.75" hidden="false" customHeight="true" outlineLevel="0" collapsed="false">
      <c r="A19" s="30" t="s">
        <v>123</v>
      </c>
      <c r="B19" s="30" t="s">
        <v>37</v>
      </c>
      <c r="C19" s="36" t="s">
        <v>124</v>
      </c>
      <c r="D19" s="30" t="s">
        <v>133</v>
      </c>
      <c r="E19" s="30" t="s">
        <v>134</v>
      </c>
    </row>
    <row r="20" customFormat="false" ht="33.75" hidden="false" customHeight="true" outlineLevel="0" collapsed="false">
      <c r="A20" s="30" t="s">
        <v>123</v>
      </c>
      <c r="B20" s="30" t="s">
        <v>38</v>
      </c>
      <c r="C20" s="36" t="s">
        <v>124</v>
      </c>
      <c r="D20" s="30" t="s">
        <v>135</v>
      </c>
      <c r="E20" s="30" t="s">
        <v>136</v>
      </c>
    </row>
    <row r="21" customFormat="false" ht="33.75" hidden="false" customHeight="true" outlineLevel="0" collapsed="false">
      <c r="A21" s="30" t="s">
        <v>123</v>
      </c>
      <c r="B21" s="30" t="s">
        <v>39</v>
      </c>
      <c r="C21" s="36" t="s">
        <v>124</v>
      </c>
      <c r="D21" s="30" t="s">
        <v>137</v>
      </c>
      <c r="E21" s="30" t="s">
        <v>138</v>
      </c>
    </row>
    <row r="22" customFormat="false" ht="33.75" hidden="false" customHeight="true" outlineLevel="0" collapsed="false">
      <c r="A22" s="30" t="s">
        <v>123</v>
      </c>
      <c r="B22" s="30" t="s">
        <v>40</v>
      </c>
      <c r="C22" s="36" t="s">
        <v>124</v>
      </c>
      <c r="D22" s="30" t="s">
        <v>139</v>
      </c>
      <c r="E22" s="30" t="s">
        <v>140</v>
      </c>
    </row>
    <row r="23" customFormat="false" ht="33.75" hidden="false" customHeight="true" outlineLevel="0" collapsed="false">
      <c r="A23" s="30" t="s">
        <v>123</v>
      </c>
      <c r="B23" s="30" t="s">
        <v>41</v>
      </c>
      <c r="C23" s="36" t="s">
        <v>124</v>
      </c>
      <c r="D23" s="30" t="s">
        <v>141</v>
      </c>
      <c r="E23" s="30" t="s">
        <v>142</v>
      </c>
    </row>
    <row r="24" customFormat="false" ht="33.75" hidden="false" customHeight="true" outlineLevel="0" collapsed="false">
      <c r="A24" s="30" t="s">
        <v>111</v>
      </c>
      <c r="B24" s="30" t="s">
        <v>78</v>
      </c>
      <c r="C24" s="36" t="s">
        <v>124</v>
      </c>
      <c r="D24" s="30" t="s">
        <v>143</v>
      </c>
      <c r="E24" s="30" t="s">
        <v>144</v>
      </c>
    </row>
    <row r="25" customFormat="false" ht="33.75" hidden="false" customHeight="true" outlineLevel="0" collapsed="false">
      <c r="A25" s="30" t="s">
        <v>123</v>
      </c>
      <c r="B25" s="30" t="s">
        <v>42</v>
      </c>
      <c r="C25" s="36" t="s">
        <v>124</v>
      </c>
      <c r="D25" s="30" t="s">
        <v>145</v>
      </c>
      <c r="E25" s="30" t="s">
        <v>17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0"/>
  </cols>
  <sheetData>
    <row r="1" customFormat="false" ht="15" hidden="false" customHeight="false" outlineLevel="0" collapsed="false">
      <c r="A1" s="37" t="s">
        <v>73</v>
      </c>
      <c r="B1" s="37" t="s">
        <v>35</v>
      </c>
      <c r="C1" s="37" t="s">
        <v>38</v>
      </c>
    </row>
    <row r="2" customFormat="false" ht="15" hidden="false" customHeight="false" outlineLevel="0" collapsed="false">
      <c r="A2" s="38" t="s">
        <v>85</v>
      </c>
      <c r="B2" s="38" t="s">
        <v>146</v>
      </c>
      <c r="C2" s="38" t="s">
        <v>147</v>
      </c>
    </row>
    <row r="3" customFormat="false" ht="15" hidden="false" customHeight="false" outlineLevel="0" collapsed="false">
      <c r="A3" s="38" t="s">
        <v>148</v>
      </c>
      <c r="B3" s="38" t="s">
        <v>64</v>
      </c>
      <c r="C3" s="38" t="s">
        <v>67</v>
      </c>
    </row>
    <row r="6" customFormat="false" ht="15" hidden="false" customHeight="false" outlineLevel="0" collapsed="false">
      <c r="A6" s="39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2026-10-02T12:31:58Z</dcterms:created>
  <dc:creator>openpyxl</dc:creator>
  <dc:description/>
  <dc:language>en-US</dc:language>
  <cp:lastModifiedBy/>
  <dcterms:modified xsi:type="dcterms:W3CDTF">2026-10-02T12:31:59Z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